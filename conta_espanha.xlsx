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8f09b586b535729f/Área de Trabalho/apre_seminario/"/>
    </mc:Choice>
  </mc:AlternateContent>
  <xr:revisionPtr revIDLastSave="286" documentId="13_ncr:1_{B1D2CFA2-64DE-4C31-BD13-3B174DA6ABD9}" xr6:coauthVersionLast="47" xr6:coauthVersionMax="47" xr10:uidLastSave="{F073D4F5-BBC7-4C7D-BE8E-1BE01BE19193}"/>
  <bookViews>
    <workbookView xWindow="-120" yWindow="-120" windowWidth="38640" windowHeight="15720" activeTab="2" xr2:uid="{499C0E6F-D063-4F94-BABA-06EF74B9DAFE}"/>
  </bookViews>
  <sheets>
    <sheet name="Conversões e gastos" sheetId="2" r:id="rId1"/>
    <sheet name="Planilha2" sheetId="4" r:id="rId2"/>
    <sheet name="dados" sheetId="5" r:id="rId3"/>
  </sheets>
  <definedNames>
    <definedName name="_xlnm._FilterDatabase" localSheetId="0" hidden="1">'Conversões e gastos'!$D$1:$O$126</definedName>
    <definedName name="_xlnm._FilterDatabase" localSheetId="2" hidden="1">dados!$A$1:$I$348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5" l="1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" i="5"/>
  <c r="I4" i="5"/>
  <c r="I5" i="5"/>
  <c r="I6" i="5"/>
  <c r="I7" i="5"/>
  <c r="I8" i="5"/>
  <c r="I9" i="5"/>
  <c r="I10" i="5"/>
  <c r="I11" i="5"/>
  <c r="I12" i="5"/>
  <c r="I13" i="5"/>
  <c r="I14" i="5"/>
  <c r="I2" i="5"/>
  <c r="C291" i="5"/>
  <c r="C77" i="5"/>
  <c r="C22" i="5"/>
  <c r="O344" i="2"/>
  <c r="O345" i="2" s="1"/>
  <c r="N344" i="2"/>
  <c r="N345" i="2" s="1"/>
  <c r="H291" i="2"/>
  <c r="L6" i="4"/>
  <c r="H77" i="2"/>
  <c r="H22" i="2"/>
  <c r="B18" i="2"/>
  <c r="B11" i="2"/>
  <c r="B13" i="2" s="1"/>
  <c r="B17" i="2"/>
  <c r="B10" i="2"/>
  <c r="B9" i="2"/>
  <c r="O346" i="2" l="1"/>
  <c r="B19" i="2"/>
  <c r="B15" i="2"/>
</calcChain>
</file>

<file path=xl/sharedStrings.xml><?xml version="1.0" encoding="utf-8"?>
<sst xmlns="http://schemas.openxmlformats.org/spreadsheetml/2006/main" count="4018" uniqueCount="262">
  <si>
    <t>eu</t>
  </si>
  <si>
    <t>eu e ecle</t>
  </si>
  <si>
    <t>Parcelas</t>
  </si>
  <si>
    <t>Valor R$</t>
  </si>
  <si>
    <t>Câmbio</t>
  </si>
  <si>
    <t>Data</t>
  </si>
  <si>
    <t xml:space="preserve">Despesa </t>
  </si>
  <si>
    <t>Valor</t>
  </si>
  <si>
    <t>Dinheiro</t>
  </si>
  <si>
    <t>Quem paga?</t>
  </si>
  <si>
    <t>Quem pagou</t>
  </si>
  <si>
    <t>OK?</t>
  </si>
  <si>
    <t>1ª</t>
  </si>
  <si>
    <t>Passagem</t>
  </si>
  <si>
    <t>real</t>
  </si>
  <si>
    <t>21/09/2024</t>
  </si>
  <si>
    <t>sim</t>
  </si>
  <si>
    <t>Seguro Sáude</t>
  </si>
  <si>
    <t>euro</t>
  </si>
  <si>
    <t>22/07/2024</t>
  </si>
  <si>
    <t>Trem de chegada</t>
  </si>
  <si>
    <t>Mercado</t>
  </si>
  <si>
    <t>Aluguel + luz</t>
  </si>
  <si>
    <t>Total taxa</t>
  </si>
  <si>
    <t>Renfe</t>
  </si>
  <si>
    <t>Total gasto real</t>
  </si>
  <si>
    <t>Foto</t>
  </si>
  <si>
    <t>ecle</t>
  </si>
  <si>
    <t>Total real convertido</t>
  </si>
  <si>
    <t>Total ainda em conta</t>
  </si>
  <si>
    <t>Trem rabanales</t>
  </si>
  <si>
    <t>Dif convertido/conta</t>
  </si>
  <si>
    <t>Chip</t>
  </si>
  <si>
    <t>Total restante</t>
  </si>
  <si>
    <t>Potes e cola</t>
  </si>
  <si>
    <t>Cerveja</t>
  </si>
  <si>
    <t>Total gasto euro</t>
  </si>
  <si>
    <t>Taxi Madrid</t>
  </si>
  <si>
    <t>Total euro convertido</t>
  </si>
  <si>
    <t>Taxi Cordoba</t>
  </si>
  <si>
    <t>dif euro</t>
  </si>
  <si>
    <t>15/11/2024</t>
  </si>
  <si>
    <t>13/11/2024</t>
  </si>
  <si>
    <t>Roupa</t>
  </si>
  <si>
    <t>16/11/2024</t>
  </si>
  <si>
    <t>Bar</t>
  </si>
  <si>
    <t>Bota</t>
  </si>
  <si>
    <t>21/11/2024</t>
  </si>
  <si>
    <t>20/11/2024</t>
  </si>
  <si>
    <t>24/11/2024</t>
  </si>
  <si>
    <t>22/11/2024</t>
  </si>
  <si>
    <t>18/11/2024</t>
  </si>
  <si>
    <t>23/11/2024</t>
  </si>
  <si>
    <t>25/11/2024</t>
  </si>
  <si>
    <t>29/11/2024</t>
  </si>
  <si>
    <t>27/11/2024</t>
  </si>
  <si>
    <t>30/11/2024</t>
  </si>
  <si>
    <t>Celular</t>
  </si>
  <si>
    <t>Pizzaria</t>
  </si>
  <si>
    <t xml:space="preserve">eu </t>
  </si>
  <si>
    <t>Cabelo</t>
  </si>
  <si>
    <t>16/12/2024</t>
  </si>
  <si>
    <t>água</t>
  </si>
  <si>
    <t>camisa</t>
  </si>
  <si>
    <t>bar</t>
  </si>
  <si>
    <t>21/12/2024</t>
  </si>
  <si>
    <t>20/12/2024</t>
  </si>
  <si>
    <t>18/12/2024</t>
  </si>
  <si>
    <t>14/12/2024</t>
  </si>
  <si>
    <t>15/12/2024</t>
  </si>
  <si>
    <t xml:space="preserve">Calça </t>
  </si>
  <si>
    <t>hotel málaga</t>
  </si>
  <si>
    <t>trem málaga</t>
  </si>
  <si>
    <t>23/12/2024</t>
  </si>
  <si>
    <t>22/12/2024</t>
  </si>
  <si>
    <t>26/12/2024</t>
  </si>
  <si>
    <t>27/12/2024</t>
  </si>
  <si>
    <t>Málaga</t>
  </si>
  <si>
    <t>almoço</t>
  </si>
  <si>
    <t>24/12/2024</t>
  </si>
  <si>
    <t xml:space="preserve">Café </t>
  </si>
  <si>
    <t>cerveja</t>
  </si>
  <si>
    <t>25/12/2024</t>
  </si>
  <si>
    <t>Alcazaba y Castillo</t>
  </si>
  <si>
    <t>Lanche</t>
  </si>
  <si>
    <t>30/12/2024</t>
  </si>
  <si>
    <t>28/12/2024</t>
  </si>
  <si>
    <t>Orange</t>
  </si>
  <si>
    <t>Aluguel</t>
  </si>
  <si>
    <t>14/01/2025</t>
  </si>
  <si>
    <t>17/01/2025</t>
  </si>
  <si>
    <t>roupa</t>
  </si>
  <si>
    <t>18/01/2025</t>
  </si>
  <si>
    <t>Sevilla</t>
  </si>
  <si>
    <t>trem</t>
  </si>
  <si>
    <t xml:space="preserve">café </t>
  </si>
  <si>
    <t xml:space="preserve">museu </t>
  </si>
  <si>
    <t>roupa termica</t>
  </si>
  <si>
    <t>powerbank</t>
  </si>
  <si>
    <t>tomada banheiro</t>
  </si>
  <si>
    <t>granada</t>
  </si>
  <si>
    <t>telecabine</t>
  </si>
  <si>
    <t>hotel granada</t>
  </si>
  <si>
    <t>imã</t>
  </si>
  <si>
    <t>onibus</t>
  </si>
  <si>
    <t>alhambra</t>
  </si>
  <si>
    <t>onibus serra</t>
  </si>
  <si>
    <t>onibus granada</t>
  </si>
  <si>
    <t>café</t>
  </si>
  <si>
    <t>mouse</t>
  </si>
  <si>
    <t>café lab</t>
  </si>
  <si>
    <t>caacoles</t>
  </si>
  <si>
    <t>málaga - roma</t>
  </si>
  <si>
    <t>viagem</t>
  </si>
  <si>
    <t>milão - viena</t>
  </si>
  <si>
    <t>córdoba - málaga</t>
  </si>
  <si>
    <t>hospedagem roma</t>
  </si>
  <si>
    <t>roma - milão</t>
  </si>
  <si>
    <t>hospedagem milão</t>
  </si>
  <si>
    <t>viena - praga</t>
  </si>
  <si>
    <t>hospedagem viena</t>
  </si>
  <si>
    <t>hospedagem praga</t>
  </si>
  <si>
    <t>praga - berlin</t>
  </si>
  <si>
    <t>hospedagem berlin</t>
  </si>
  <si>
    <t>berlin-amsterdã</t>
  </si>
  <si>
    <t>amsterdã-bruxelas</t>
  </si>
  <si>
    <t>hospedagem bruxelas</t>
  </si>
  <si>
    <t>bruxelas-paris</t>
  </si>
  <si>
    <t>hospedagem paris</t>
  </si>
  <si>
    <t>cata de vinho</t>
  </si>
  <si>
    <t>sorvete</t>
  </si>
  <si>
    <t>la casa siria</t>
  </si>
  <si>
    <t>Mochila</t>
  </si>
  <si>
    <t xml:space="preserve">hospedagem amsterdã </t>
  </si>
  <si>
    <t>hospedagem barcelona</t>
  </si>
  <si>
    <t>paris-barcelona</t>
  </si>
  <si>
    <t>barcelona-cordoba</t>
  </si>
  <si>
    <t>vitoria</t>
  </si>
  <si>
    <t>primark</t>
  </si>
  <si>
    <t>louvre</t>
  </si>
  <si>
    <t xml:space="preserve">coliseo </t>
  </si>
  <si>
    <t>bife da vó</t>
  </si>
  <si>
    <t>eu 20</t>
  </si>
  <si>
    <t>resto ecle</t>
  </si>
  <si>
    <t>sanduba aeropordo malaga</t>
  </si>
  <si>
    <t>café itali</t>
  </si>
  <si>
    <t>aeroporto para roma</t>
  </si>
  <si>
    <t>mercado dia 2 roma</t>
  </si>
  <si>
    <t>mercado dia 1 roma</t>
  </si>
  <si>
    <t>almoço roma</t>
  </si>
  <si>
    <t>macarrão roma</t>
  </si>
  <si>
    <t>café milão dia 1</t>
  </si>
  <si>
    <t>mercado dia 1 milão</t>
  </si>
  <si>
    <t xml:space="preserve">ingressso museu </t>
  </si>
  <si>
    <t>malaga para aeroporto</t>
  </si>
  <si>
    <t>milão - bergamo aeroporto</t>
  </si>
  <si>
    <t>ônibus roma</t>
  </si>
  <si>
    <t>pizza milão</t>
  </si>
  <si>
    <t>metro milão</t>
  </si>
  <si>
    <t>mercado dia 2 milão</t>
  </si>
  <si>
    <t>aeroporto para viena</t>
  </si>
  <si>
    <t>metro milão dia 3</t>
  </si>
  <si>
    <t>café dia 1 viena</t>
  </si>
  <si>
    <t>metro viena</t>
  </si>
  <si>
    <t>café dia 2 viena</t>
  </si>
  <si>
    <t>linguiça viena</t>
  </si>
  <si>
    <t>café de tarde dia 2 viena</t>
  </si>
  <si>
    <t>museu viena</t>
  </si>
  <si>
    <t>mercado dia 2 viena</t>
  </si>
  <si>
    <t>sorvete milão</t>
  </si>
  <si>
    <t>imã milão</t>
  </si>
  <si>
    <t>imã roma</t>
  </si>
  <si>
    <t xml:space="preserve">café viena </t>
  </si>
  <si>
    <t>mercado viena</t>
  </si>
  <si>
    <t>vigagem bratslava</t>
  </si>
  <si>
    <t>imã bratslava</t>
  </si>
  <si>
    <t>almoço bratslava</t>
  </si>
  <si>
    <t>café bratslava</t>
  </si>
  <si>
    <t>batata viena</t>
  </si>
  <si>
    <t>lavagem de roupa</t>
  </si>
  <si>
    <t>café praga</t>
  </si>
  <si>
    <t>trem praga</t>
  </si>
  <si>
    <t>janta praga</t>
  </si>
  <si>
    <t>mercado praga</t>
  </si>
  <si>
    <t>tipo</t>
  </si>
  <si>
    <t>valor</t>
  </si>
  <si>
    <t>data</t>
  </si>
  <si>
    <t>Rótulos de Linha</t>
  </si>
  <si>
    <t>(vazio)</t>
  </si>
  <si>
    <t>Total Geral</t>
  </si>
  <si>
    <t>Soma de valor</t>
  </si>
  <si>
    <t xml:space="preserve"> </t>
  </si>
  <si>
    <t>imã praga</t>
  </si>
  <si>
    <t>não</t>
  </si>
  <si>
    <t>metro praga</t>
  </si>
  <si>
    <t>linguiça praga</t>
  </si>
  <si>
    <t>água praga</t>
  </si>
  <si>
    <t>cerveja praga</t>
  </si>
  <si>
    <t>metro berlim</t>
  </si>
  <si>
    <t>mercado berlim</t>
  </si>
  <si>
    <t>café berlim</t>
  </si>
  <si>
    <t>imã berlim</t>
  </si>
  <si>
    <t>rot dog berlim</t>
  </si>
  <si>
    <t>museu bunker</t>
  </si>
  <si>
    <t>ajuda veia</t>
  </si>
  <si>
    <t>museu de tecnol</t>
  </si>
  <si>
    <t>trem amesterdã</t>
  </si>
  <si>
    <t>mercado amesterd~~a</t>
  </si>
  <si>
    <t>hamburgue</t>
  </si>
  <si>
    <t>mercado amns</t>
  </si>
  <si>
    <t>croqueta amns</t>
  </si>
  <si>
    <t>café amns</t>
  </si>
  <si>
    <t>cerveja amns</t>
  </si>
  <si>
    <t>hambuergue febo amns</t>
  </si>
  <si>
    <t>metro amns</t>
  </si>
  <si>
    <t>batata amns</t>
  </si>
  <si>
    <t>bolachão amns</t>
  </si>
  <si>
    <t>mercado</t>
  </si>
  <si>
    <t xml:space="preserve">crédito celular </t>
  </si>
  <si>
    <t>metro aeroporto paris</t>
  </si>
  <si>
    <t>batata aeroporto paris</t>
  </si>
  <si>
    <t>metro bruxelas</t>
  </si>
  <si>
    <t>metro paris</t>
  </si>
  <si>
    <t>onibus barcelona</t>
  </si>
  <si>
    <t>lavagem de roupa brucelas</t>
  </si>
  <si>
    <t>mercado brucelas</t>
  </si>
  <si>
    <t>bar irlandes brucelas</t>
  </si>
  <si>
    <t>chocolate belga</t>
  </si>
  <si>
    <t>amburgs brucelas</t>
  </si>
  <si>
    <t>museu musica</t>
  </si>
  <si>
    <t>wafle brucelas</t>
  </si>
  <si>
    <t>café starbuk brucelas</t>
  </si>
  <si>
    <t>metro brucelas</t>
  </si>
  <si>
    <t>kfc brucelas</t>
  </si>
  <si>
    <t>banheiro kfc brucelas</t>
  </si>
  <si>
    <t>meto brucelas</t>
  </si>
  <si>
    <t>tick subir na torre eiffel</t>
  </si>
  <si>
    <t>kfc paris</t>
  </si>
  <si>
    <t>mercado paris</t>
  </si>
  <si>
    <t>starbuk paris</t>
  </si>
  <si>
    <t>restaurante paris</t>
  </si>
  <si>
    <t>barco paris</t>
  </si>
  <si>
    <t>almoço paris</t>
  </si>
  <si>
    <t>padaria</t>
  </si>
  <si>
    <t>chaveiros barcelona</t>
  </si>
  <si>
    <t>metro barcelo</t>
  </si>
  <si>
    <t>café barcelona</t>
  </si>
  <si>
    <t>starbuk barcelona</t>
  </si>
  <si>
    <t xml:space="preserve">café barcelona </t>
  </si>
  <si>
    <t>ver com a iryo</t>
  </si>
  <si>
    <t>hotel madrid</t>
  </si>
  <si>
    <t>kfc madrid</t>
  </si>
  <si>
    <t>imã madrid</t>
  </si>
  <si>
    <t>falta ticke de onibus ansterdã</t>
  </si>
  <si>
    <t>suvnir</t>
  </si>
  <si>
    <t>bar canadian</t>
  </si>
  <si>
    <t>renfe</t>
  </si>
  <si>
    <t>aeroporto madrid</t>
  </si>
  <si>
    <t>luz final</t>
  </si>
  <si>
    <t>mezquita</t>
  </si>
  <si>
    <t>data_correta</t>
  </si>
  <si>
    <t>res mercado vitória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</si>
</sst>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Frosi" refreshedDate="45763.4067" createdVersion="8" refreshedVersion="8" minRefreshableVersion="3" recordCount="53" xr:uid="{EE4CD655-CD9B-421D-A939-C0257C2BAAF1}">
  <cacheSource type="worksheet">
    <worksheetSource ref="B1:D1048576" sheet="Planilha2"/>
  </cacheSource>
  <cacheFields count="3">
    <cacheField name="tipo" numFmtId="0">
      <sharedItems containsBlank="1" count="45">
        <s v="louvre"/>
        <s v="coliseo "/>
        <s v="bife da vó"/>
        <s v="sanduba aeropordo malaga"/>
        <s v="café itali"/>
        <s v="mercado dia 1 roma"/>
        <s v="aeroporto para roma"/>
        <s v="almoço roma"/>
        <s v="macarrão roma"/>
        <s v="mercado dia 2 roma"/>
        <s v="café milão dia 1"/>
        <s v="metro milão"/>
        <s v="mercado dia 1 milão"/>
        <s v="ingressso museu "/>
        <s v="malaga para aeroporto"/>
        <s v="milão - bergamo aeroporto"/>
        <s v="ônibus roma"/>
        <s v="pizza milão"/>
        <s v="mercado dia 2 milão"/>
        <s v="metro milão dia 3"/>
        <s v="aeroporto para viena"/>
        <s v="café dia 1 viena"/>
        <s v="metro viena"/>
        <s v="café dia 2 viena"/>
        <s v="linguiça viena"/>
        <s v="café de tarde dia 2 viena"/>
        <s v="museu viena"/>
        <s v="mercado dia 2 viena"/>
        <s v="sorvete milão"/>
        <s v="imã milão"/>
        <s v="imã roma"/>
        <s v="café viena "/>
        <s v="mercado viena"/>
        <s v="vigagem bratslava"/>
        <s v="imã bratslava"/>
        <s v="almoço bratslava"/>
        <s v="café bratslava"/>
        <s v="batata viena"/>
        <s v="lavagem de roupa"/>
        <s v="café praga"/>
        <s v="trem praga"/>
        <s v="imã"/>
        <s v="janta praga"/>
        <s v="mercado praga"/>
        <m/>
      </sharedItems>
    </cacheField>
    <cacheField name="valor" numFmtId="0">
      <sharedItems containsString="0" containsBlank="1" containsNumber="1" minValue="3" maxValue="59.6"/>
    </cacheField>
    <cacheField name="data" numFmtId="0">
      <sharedItems containsNonDate="0" containsDate="1" containsString="0" containsBlank="1" minDate="2025-04-04T00:00:00" maxDate="2025-04-16T00:00:00" count="13">
        <d v="2025-04-04T00:00:00"/>
        <d v="2025-04-05T00:00:00"/>
        <d v="2025-04-10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4T00:00:00"/>
        <d v="2025-04-15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x v="0"/>
    <n v="44"/>
    <x v="0"/>
  </r>
  <r>
    <x v="1"/>
    <n v="59.6"/>
    <x v="1"/>
  </r>
  <r>
    <x v="2"/>
    <n v="26.6"/>
    <x v="2"/>
  </r>
  <r>
    <x v="3"/>
    <n v="7"/>
    <x v="3"/>
  </r>
  <r>
    <x v="4"/>
    <n v="13"/>
    <x v="3"/>
  </r>
  <r>
    <x v="5"/>
    <n v="9"/>
    <x v="3"/>
  </r>
  <r>
    <x v="6"/>
    <n v="16"/>
    <x v="3"/>
  </r>
  <r>
    <x v="5"/>
    <n v="11.4"/>
    <x v="3"/>
  </r>
  <r>
    <x v="7"/>
    <n v="26"/>
    <x v="4"/>
  </r>
  <r>
    <x v="8"/>
    <n v="16"/>
    <x v="4"/>
  </r>
  <r>
    <x v="9"/>
    <n v="6.32"/>
    <x v="4"/>
  </r>
  <r>
    <x v="10"/>
    <n v="15"/>
    <x v="5"/>
  </r>
  <r>
    <x v="11"/>
    <n v="4.4000000000000004"/>
    <x v="5"/>
  </r>
  <r>
    <x v="12"/>
    <n v="12.92"/>
    <x v="5"/>
  </r>
  <r>
    <x v="13"/>
    <n v="20"/>
    <x v="6"/>
  </r>
  <r>
    <x v="14"/>
    <n v="8"/>
    <x v="1"/>
  </r>
  <r>
    <x v="15"/>
    <n v="20"/>
    <x v="6"/>
  </r>
  <r>
    <x v="16"/>
    <n v="3"/>
    <x v="5"/>
  </r>
  <r>
    <x v="11"/>
    <n v="4.4000000000000004"/>
    <x v="6"/>
  </r>
  <r>
    <x v="17"/>
    <n v="24.23"/>
    <x v="6"/>
  </r>
  <r>
    <x v="11"/>
    <n v="4.4000000000000004"/>
    <x v="6"/>
  </r>
  <r>
    <x v="18"/>
    <n v="5.19"/>
    <x v="6"/>
  </r>
  <r>
    <x v="19"/>
    <n v="4.4000000000000004"/>
    <x v="2"/>
  </r>
  <r>
    <x v="20"/>
    <n v="8.8000000000000007"/>
    <x v="2"/>
  </r>
  <r>
    <x v="21"/>
    <n v="16.850000000000001"/>
    <x v="2"/>
  </r>
  <r>
    <x v="22"/>
    <n v="9.6"/>
    <x v="7"/>
  </r>
  <r>
    <x v="23"/>
    <n v="5.8"/>
    <x v="7"/>
  </r>
  <r>
    <x v="24"/>
    <n v="16"/>
    <x v="7"/>
  </r>
  <r>
    <x v="25"/>
    <n v="8.4"/>
    <x v="7"/>
  </r>
  <r>
    <x v="26"/>
    <n v="46"/>
    <x v="7"/>
  </r>
  <r>
    <x v="27"/>
    <n v="14.22"/>
    <x v="7"/>
  </r>
  <r>
    <x v="28"/>
    <n v="8"/>
    <x v="6"/>
  </r>
  <r>
    <x v="29"/>
    <n v="4"/>
    <x v="6"/>
  </r>
  <r>
    <x v="30"/>
    <n v="3"/>
    <x v="4"/>
  </r>
  <r>
    <x v="31"/>
    <n v="14.95"/>
    <x v="8"/>
  </r>
  <r>
    <x v="32"/>
    <n v="7"/>
    <x v="8"/>
  </r>
  <r>
    <x v="32"/>
    <n v="13.47"/>
    <x v="8"/>
  </r>
  <r>
    <x v="22"/>
    <n v="9.6"/>
    <x v="8"/>
  </r>
  <r>
    <x v="33"/>
    <n v="36"/>
    <x v="9"/>
  </r>
  <r>
    <x v="34"/>
    <n v="4.9000000000000004"/>
    <x v="9"/>
  </r>
  <r>
    <x v="35"/>
    <n v="20"/>
    <x v="9"/>
  </r>
  <r>
    <x v="36"/>
    <n v="10.199999999999999"/>
    <x v="9"/>
  </r>
  <r>
    <x v="36"/>
    <n v="7.5"/>
    <x v="9"/>
  </r>
  <r>
    <x v="37"/>
    <n v="8.3000000000000007"/>
    <x v="9"/>
  </r>
  <r>
    <x v="31"/>
    <n v="13.7"/>
    <x v="10"/>
  </r>
  <r>
    <x v="32"/>
    <n v="8.15"/>
    <x v="10"/>
  </r>
  <r>
    <x v="38"/>
    <n v="13.6"/>
    <x v="10"/>
  </r>
  <r>
    <x v="39"/>
    <n v="22.23"/>
    <x v="11"/>
  </r>
  <r>
    <x v="40"/>
    <n v="9.6"/>
    <x v="11"/>
  </r>
  <r>
    <x v="41"/>
    <n v="19.88"/>
    <x v="11"/>
  </r>
  <r>
    <x v="42"/>
    <n v="28.67"/>
    <x v="10"/>
  </r>
  <r>
    <x v="43"/>
    <n v="9.2100000000000009"/>
    <x v="11"/>
  </r>
  <r>
    <x v="44"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9C533-72BE-4770-893F-26DB7F44AF4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I3:J17" firstHeaderRow="1" firstDataRow="1" firstDataCol="1"/>
  <pivotFields count="3">
    <pivotField showAll="0">
      <items count="46">
        <item x="6"/>
        <item x="20"/>
        <item x="35"/>
        <item x="7"/>
        <item x="37"/>
        <item x="2"/>
        <item x="36"/>
        <item x="25"/>
        <item x="21"/>
        <item x="23"/>
        <item x="4"/>
        <item x="10"/>
        <item x="39"/>
        <item x="31"/>
        <item x="1"/>
        <item x="41"/>
        <item x="34"/>
        <item x="29"/>
        <item x="30"/>
        <item x="13"/>
        <item x="42"/>
        <item x="38"/>
        <item x="24"/>
        <item x="0"/>
        <item x="8"/>
        <item x="14"/>
        <item x="12"/>
        <item x="5"/>
        <item x="18"/>
        <item x="9"/>
        <item x="27"/>
        <item x="43"/>
        <item x="32"/>
        <item x="11"/>
        <item x="19"/>
        <item x="22"/>
        <item x="15"/>
        <item x="26"/>
        <item x="16"/>
        <item x="17"/>
        <item x="3"/>
        <item x="28"/>
        <item x="40"/>
        <item x="33"/>
        <item x="44"/>
        <item t="default"/>
      </items>
    </pivotField>
    <pivotField dataField="1" showAll="0"/>
    <pivotField axis="axisRow" showAll="0">
      <items count="14">
        <item x="0"/>
        <item x="1"/>
        <item x="3"/>
        <item x="4"/>
        <item x="5"/>
        <item x="6"/>
        <item x="2"/>
        <item x="7"/>
        <item x="8"/>
        <item x="9"/>
        <item x="10"/>
        <item x="11"/>
        <item x="12"/>
        <item t="default"/>
      </items>
    </pivotField>
  </pivotFields>
  <rowFields count="1">
    <field x="2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964E-F25B-4442-A5A3-EDD213E693F8}">
  <dimension ref="A1:Q348"/>
  <sheetViews>
    <sheetView topLeftCell="D1" zoomScale="103" zoomScaleNormal="148" workbookViewId="0">
      <pane ySplit="1" topLeftCell="A161" activePane="bottomLeft" state="frozen"/>
      <selection activeCell="B1" sqref="B1"/>
      <selection pane="bottomLeft" activeCell="G175" sqref="G175"/>
    </sheetView>
  </sheetViews>
  <sheetFormatPr defaultRowHeight="15" x14ac:dyDescent="0.25"/>
  <cols>
    <col min="1" max="1" width="19.85546875" bestFit="1" customWidth="1"/>
    <col min="2" max="3" width="13.140625" customWidth="1"/>
    <col min="4" max="4" width="8.28515625" bestFit="1" customWidth="1"/>
    <col min="6" max="6" width="24.28515625" bestFit="1" customWidth="1"/>
    <col min="7" max="7" width="17.85546875" bestFit="1" customWidth="1"/>
    <col min="9" max="9" width="10.42578125" bestFit="1" customWidth="1"/>
    <col min="10" max="10" width="10.42578125" style="2" bestFit="1" customWidth="1"/>
    <col min="11" max="11" width="12.140625" bestFit="1" customWidth="1"/>
    <col min="12" max="12" width="12.28515625" bestFit="1" customWidth="1"/>
    <col min="14" max="14" width="12.140625" bestFit="1" customWidth="1"/>
    <col min="15" max="15" width="16.42578125" bestFit="1" customWidth="1"/>
  </cols>
  <sheetData>
    <row r="1" spans="1:13" x14ac:dyDescent="0.25">
      <c r="A1" t="s">
        <v>2</v>
      </c>
      <c r="B1" t="s">
        <v>3</v>
      </c>
      <c r="D1" t="s">
        <v>3</v>
      </c>
      <c r="E1" t="s">
        <v>4</v>
      </c>
      <c r="G1" t="s">
        <v>6</v>
      </c>
      <c r="H1" t="s">
        <v>7</v>
      </c>
      <c r="I1" t="s">
        <v>8</v>
      </c>
      <c r="J1" s="2" t="s">
        <v>5</v>
      </c>
      <c r="K1" t="s">
        <v>9</v>
      </c>
      <c r="L1" t="s">
        <v>10</v>
      </c>
      <c r="M1" t="s">
        <v>11</v>
      </c>
    </row>
    <row r="2" spans="1:13" x14ac:dyDescent="0.25">
      <c r="A2" t="s">
        <v>12</v>
      </c>
      <c r="B2" s="1">
        <v>42682.2</v>
      </c>
      <c r="C2" s="1"/>
      <c r="D2">
        <v>1846.34</v>
      </c>
      <c r="E2">
        <v>6.0491999999999999</v>
      </c>
      <c r="G2" t="s">
        <v>13</v>
      </c>
      <c r="H2">
        <v>5251.94</v>
      </c>
      <c r="I2" t="s">
        <v>14</v>
      </c>
      <c r="J2" s="2" t="s">
        <v>15</v>
      </c>
      <c r="K2" t="s">
        <v>0</v>
      </c>
      <c r="L2" t="s">
        <v>0</v>
      </c>
      <c r="M2" t="s">
        <v>16</v>
      </c>
    </row>
    <row r="3" spans="1:13" x14ac:dyDescent="0.25">
      <c r="D3">
        <v>177</v>
      </c>
      <c r="E3">
        <v>6.1635999999999997</v>
      </c>
      <c r="G3" t="s">
        <v>17</v>
      </c>
      <c r="H3">
        <v>282.58</v>
      </c>
      <c r="I3" t="s">
        <v>18</v>
      </c>
      <c r="J3" s="2" t="s">
        <v>19</v>
      </c>
      <c r="K3" t="s">
        <v>0</v>
      </c>
      <c r="L3" t="s">
        <v>0</v>
      </c>
      <c r="M3" t="s">
        <v>16</v>
      </c>
    </row>
    <row r="4" spans="1:13" x14ac:dyDescent="0.25">
      <c r="D4">
        <v>3204.02</v>
      </c>
      <c r="E4">
        <v>6.2984999999999998</v>
      </c>
      <c r="G4" t="s">
        <v>20</v>
      </c>
      <c r="H4">
        <v>193.1</v>
      </c>
      <c r="I4" t="s">
        <v>18</v>
      </c>
      <c r="J4" s="2">
        <v>45597</v>
      </c>
      <c r="K4" t="s">
        <v>1</v>
      </c>
      <c r="L4" t="s">
        <v>0</v>
      </c>
      <c r="M4" t="s">
        <v>16</v>
      </c>
    </row>
    <row r="5" spans="1:13" x14ac:dyDescent="0.25">
      <c r="D5">
        <v>3000</v>
      </c>
      <c r="E5">
        <v>6.3596000000000004</v>
      </c>
      <c r="G5" t="s">
        <v>21</v>
      </c>
      <c r="H5">
        <v>23.18</v>
      </c>
      <c r="I5" t="s">
        <v>18</v>
      </c>
      <c r="J5" s="2">
        <v>45599</v>
      </c>
      <c r="K5" t="s">
        <v>1</v>
      </c>
      <c r="L5" t="s">
        <v>0</v>
      </c>
      <c r="M5" t="s">
        <v>16</v>
      </c>
    </row>
    <row r="6" spans="1:13" x14ac:dyDescent="0.25">
      <c r="D6">
        <v>230.19</v>
      </c>
      <c r="E6">
        <v>6.2847999999999997</v>
      </c>
      <c r="G6" t="s">
        <v>21</v>
      </c>
      <c r="H6">
        <v>60.61</v>
      </c>
      <c r="I6" t="s">
        <v>18</v>
      </c>
      <c r="J6" s="2">
        <v>45600</v>
      </c>
      <c r="K6" t="s">
        <v>1</v>
      </c>
      <c r="L6" t="s">
        <v>0</v>
      </c>
      <c r="M6" t="s">
        <v>16</v>
      </c>
    </row>
    <row r="7" spans="1:13" x14ac:dyDescent="0.25">
      <c r="D7">
        <v>1566.21</v>
      </c>
      <c r="E7">
        <v>6.1064999999999996</v>
      </c>
      <c r="G7" t="s">
        <v>22</v>
      </c>
      <c r="H7">
        <v>700</v>
      </c>
      <c r="I7" t="s">
        <v>18</v>
      </c>
      <c r="J7" s="2">
        <v>45601</v>
      </c>
      <c r="K7" t="s">
        <v>0</v>
      </c>
      <c r="L7" t="s">
        <v>0</v>
      </c>
      <c r="M7" t="s">
        <v>16</v>
      </c>
    </row>
    <row r="8" spans="1:13" x14ac:dyDescent="0.25">
      <c r="B8" t="s">
        <v>7</v>
      </c>
      <c r="D8">
        <v>5000</v>
      </c>
      <c r="E8">
        <v>6.1044</v>
      </c>
      <c r="G8" t="s">
        <v>21</v>
      </c>
      <c r="H8">
        <v>15.08</v>
      </c>
      <c r="I8" t="s">
        <v>18</v>
      </c>
      <c r="J8" s="2">
        <v>45603</v>
      </c>
      <c r="K8" t="s">
        <v>1</v>
      </c>
      <c r="L8" t="s">
        <v>0</v>
      </c>
      <c r="M8" t="s">
        <v>16</v>
      </c>
    </row>
    <row r="9" spans="1:13" x14ac:dyDescent="0.25">
      <c r="A9" t="s">
        <v>23</v>
      </c>
      <c r="B9" s="1" t="e">
        <f>SUM(#REF!)</f>
        <v>#REF!</v>
      </c>
      <c r="G9" t="s">
        <v>24</v>
      </c>
      <c r="H9">
        <v>10</v>
      </c>
      <c r="I9" t="s">
        <v>18</v>
      </c>
      <c r="J9" s="2">
        <v>45604</v>
      </c>
      <c r="K9" t="s">
        <v>0</v>
      </c>
      <c r="L9" t="s">
        <v>0</v>
      </c>
      <c r="M9" t="s">
        <v>16</v>
      </c>
    </row>
    <row r="10" spans="1:13" x14ac:dyDescent="0.25">
      <c r="A10" t="s">
        <v>25</v>
      </c>
      <c r="B10">
        <f>SUM(H2)</f>
        <v>5251.94</v>
      </c>
      <c r="G10" t="s">
        <v>26</v>
      </c>
      <c r="H10">
        <v>12</v>
      </c>
      <c r="I10" t="s">
        <v>18</v>
      </c>
      <c r="J10" s="2">
        <v>45602</v>
      </c>
      <c r="K10" t="s">
        <v>1</v>
      </c>
      <c r="L10" t="s">
        <v>27</v>
      </c>
      <c r="M10" t="s">
        <v>16</v>
      </c>
    </row>
    <row r="11" spans="1:13" x14ac:dyDescent="0.25">
      <c r="A11" t="s">
        <v>28</v>
      </c>
      <c r="B11">
        <f>SUM(D2:D8)</f>
        <v>15023.760000000002</v>
      </c>
      <c r="G11" t="s">
        <v>21</v>
      </c>
      <c r="H11">
        <v>14.01</v>
      </c>
      <c r="I11" t="s">
        <v>18</v>
      </c>
      <c r="J11" s="2">
        <v>45601</v>
      </c>
      <c r="K11" t="s">
        <v>1</v>
      </c>
      <c r="L11" t="s">
        <v>27</v>
      </c>
      <c r="M11" t="s">
        <v>16</v>
      </c>
    </row>
    <row r="12" spans="1:13" x14ac:dyDescent="0.25">
      <c r="A12" t="s">
        <v>29</v>
      </c>
      <c r="B12">
        <v>6750.36</v>
      </c>
      <c r="G12" t="s">
        <v>30</v>
      </c>
      <c r="H12">
        <v>7.5</v>
      </c>
      <c r="I12" t="s">
        <v>18</v>
      </c>
      <c r="J12" s="2">
        <v>45601</v>
      </c>
      <c r="K12" t="s">
        <v>0</v>
      </c>
      <c r="L12" t="s">
        <v>27</v>
      </c>
      <c r="M12" t="s">
        <v>16</v>
      </c>
    </row>
    <row r="13" spans="1:13" x14ac:dyDescent="0.25">
      <c r="A13" t="s">
        <v>31</v>
      </c>
      <c r="B13">
        <f>B11-B12</f>
        <v>8273.4000000000015</v>
      </c>
      <c r="G13" t="s">
        <v>32</v>
      </c>
      <c r="H13">
        <v>28.5</v>
      </c>
      <c r="I13" t="s">
        <v>18</v>
      </c>
      <c r="J13" s="2">
        <v>45599</v>
      </c>
      <c r="K13" t="s">
        <v>1</v>
      </c>
      <c r="L13" t="s">
        <v>27</v>
      </c>
      <c r="M13" t="s">
        <v>16</v>
      </c>
    </row>
    <row r="14" spans="1:13" x14ac:dyDescent="0.25">
      <c r="G14" t="s">
        <v>21</v>
      </c>
      <c r="H14">
        <v>5.48</v>
      </c>
      <c r="I14" t="s">
        <v>18</v>
      </c>
      <c r="J14" s="2">
        <v>45605</v>
      </c>
      <c r="K14" t="s">
        <v>1</v>
      </c>
      <c r="L14" t="s">
        <v>27</v>
      </c>
      <c r="M14" t="s">
        <v>16</v>
      </c>
    </row>
    <row r="15" spans="1:13" x14ac:dyDescent="0.25">
      <c r="A15" t="s">
        <v>33</v>
      </c>
      <c r="B15" s="1" t="e">
        <f>B2-B9-B10-B13</f>
        <v>#REF!</v>
      </c>
      <c r="G15" t="s">
        <v>34</v>
      </c>
      <c r="H15">
        <v>5</v>
      </c>
      <c r="I15" t="s">
        <v>18</v>
      </c>
      <c r="J15" s="2">
        <v>45603</v>
      </c>
      <c r="K15" t="s">
        <v>1</v>
      </c>
      <c r="L15" t="s">
        <v>27</v>
      </c>
      <c r="M15" t="s">
        <v>16</v>
      </c>
    </row>
    <row r="16" spans="1:13" x14ac:dyDescent="0.25">
      <c r="G16" t="s">
        <v>35</v>
      </c>
      <c r="H16">
        <v>13.85</v>
      </c>
      <c r="I16" t="s">
        <v>18</v>
      </c>
      <c r="J16" s="2">
        <v>45601</v>
      </c>
      <c r="K16" t="s">
        <v>1</v>
      </c>
      <c r="L16" t="s">
        <v>27</v>
      </c>
      <c r="M16" t="s">
        <v>16</v>
      </c>
    </row>
    <row r="17" spans="1:13" x14ac:dyDescent="0.25">
      <c r="A17" t="s">
        <v>36</v>
      </c>
      <c r="B17">
        <f>SUM(H3:H9)</f>
        <v>1284.5499999999997</v>
      </c>
      <c r="G17" t="s">
        <v>37</v>
      </c>
      <c r="H17">
        <v>34</v>
      </c>
      <c r="I17" t="s">
        <v>18</v>
      </c>
      <c r="J17" s="2">
        <v>45605</v>
      </c>
      <c r="K17" t="s">
        <v>1</v>
      </c>
      <c r="L17" t="s">
        <v>27</v>
      </c>
      <c r="M17" t="s">
        <v>16</v>
      </c>
    </row>
    <row r="18" spans="1:13" x14ac:dyDescent="0.25">
      <c r="A18" t="s">
        <v>38</v>
      </c>
      <c r="B18" t="e">
        <f>SUM(#REF!)</f>
        <v>#REF!</v>
      </c>
      <c r="G18" t="s">
        <v>39</v>
      </c>
      <c r="H18">
        <v>16.3</v>
      </c>
      <c r="I18" t="s">
        <v>18</v>
      </c>
      <c r="J18" s="2">
        <v>45604</v>
      </c>
      <c r="K18" t="s">
        <v>1</v>
      </c>
      <c r="L18" t="s">
        <v>27</v>
      </c>
      <c r="M18" t="s">
        <v>16</v>
      </c>
    </row>
    <row r="19" spans="1:13" x14ac:dyDescent="0.25">
      <c r="A19" t="s">
        <v>40</v>
      </c>
      <c r="B19" t="e">
        <f>B18-B17</f>
        <v>#REF!</v>
      </c>
      <c r="G19" t="s">
        <v>21</v>
      </c>
      <c r="H19">
        <v>34.25</v>
      </c>
      <c r="I19" t="s">
        <v>18</v>
      </c>
      <c r="J19" s="2">
        <v>45608</v>
      </c>
      <c r="K19" t="s">
        <v>1</v>
      </c>
      <c r="L19" t="s">
        <v>27</v>
      </c>
      <c r="M19" t="s">
        <v>16</v>
      </c>
    </row>
    <row r="20" spans="1:13" x14ac:dyDescent="0.25">
      <c r="G20" t="s">
        <v>21</v>
      </c>
      <c r="H20">
        <v>27.52</v>
      </c>
      <c r="I20" t="s">
        <v>18</v>
      </c>
      <c r="J20" s="2" t="s">
        <v>41</v>
      </c>
      <c r="K20" t="s">
        <v>1</v>
      </c>
      <c r="L20" t="s">
        <v>27</v>
      </c>
      <c r="M20" t="s">
        <v>16</v>
      </c>
    </row>
    <row r="21" spans="1:13" x14ac:dyDescent="0.25">
      <c r="G21" t="s">
        <v>21</v>
      </c>
      <c r="H21">
        <v>6.34</v>
      </c>
      <c r="I21" t="s">
        <v>18</v>
      </c>
      <c r="J21" s="2" t="s">
        <v>42</v>
      </c>
      <c r="K21" t="s">
        <v>1</v>
      </c>
      <c r="L21" t="s">
        <v>0</v>
      </c>
      <c r="M21" t="s">
        <v>16</v>
      </c>
    </row>
    <row r="22" spans="1:13" x14ac:dyDescent="0.25">
      <c r="G22" t="s">
        <v>43</v>
      </c>
      <c r="H22">
        <f>7+4.5+5+14+11+9+1.5</f>
        <v>52</v>
      </c>
      <c r="I22" t="s">
        <v>18</v>
      </c>
      <c r="J22" s="2" t="s">
        <v>44</v>
      </c>
      <c r="K22" t="s">
        <v>0</v>
      </c>
      <c r="L22" t="s">
        <v>27</v>
      </c>
      <c r="M22" t="s">
        <v>16</v>
      </c>
    </row>
    <row r="23" spans="1:13" x14ac:dyDescent="0.25">
      <c r="G23" t="s">
        <v>45</v>
      </c>
      <c r="H23">
        <v>16.899999999999999</v>
      </c>
      <c r="I23" t="s">
        <v>18</v>
      </c>
      <c r="J23" s="2" t="s">
        <v>44</v>
      </c>
      <c r="K23" t="s">
        <v>1</v>
      </c>
      <c r="L23" t="s">
        <v>0</v>
      </c>
      <c r="M23" t="s">
        <v>16</v>
      </c>
    </row>
    <row r="24" spans="1:13" x14ac:dyDescent="0.25">
      <c r="G24" t="s">
        <v>46</v>
      </c>
      <c r="H24">
        <v>60</v>
      </c>
      <c r="I24" t="s">
        <v>18</v>
      </c>
      <c r="J24" s="2" t="s">
        <v>47</v>
      </c>
      <c r="K24" t="s">
        <v>0</v>
      </c>
      <c r="L24" t="s">
        <v>0</v>
      </c>
      <c r="M24" t="s">
        <v>16</v>
      </c>
    </row>
    <row r="25" spans="1:13" x14ac:dyDescent="0.25">
      <c r="G25" t="s">
        <v>21</v>
      </c>
      <c r="H25">
        <v>9.07</v>
      </c>
      <c r="I25" t="s">
        <v>18</v>
      </c>
      <c r="J25" s="2" t="s">
        <v>48</v>
      </c>
      <c r="K25" t="s">
        <v>1</v>
      </c>
      <c r="L25" t="s">
        <v>0</v>
      </c>
      <c r="M25" t="s">
        <v>16</v>
      </c>
    </row>
    <row r="26" spans="1:13" x14ac:dyDescent="0.25">
      <c r="G26" t="s">
        <v>21</v>
      </c>
      <c r="H26">
        <v>13.59</v>
      </c>
      <c r="I26" t="s">
        <v>18</v>
      </c>
      <c r="J26" s="2" t="s">
        <v>49</v>
      </c>
      <c r="K26" t="s">
        <v>1</v>
      </c>
      <c r="L26" t="s">
        <v>0</v>
      </c>
      <c r="M26" t="s">
        <v>16</v>
      </c>
    </row>
    <row r="27" spans="1:13" x14ac:dyDescent="0.25">
      <c r="G27" t="s">
        <v>21</v>
      </c>
      <c r="H27">
        <v>7.72</v>
      </c>
      <c r="I27" t="s">
        <v>18</v>
      </c>
      <c r="J27" s="2" t="s">
        <v>50</v>
      </c>
      <c r="K27" t="s">
        <v>1</v>
      </c>
      <c r="L27" t="s">
        <v>0</v>
      </c>
      <c r="M27" t="s">
        <v>16</v>
      </c>
    </row>
    <row r="28" spans="1:13" x14ac:dyDescent="0.25">
      <c r="G28" t="s">
        <v>21</v>
      </c>
      <c r="H28">
        <v>34.83</v>
      </c>
      <c r="I28" t="s">
        <v>18</v>
      </c>
      <c r="J28" s="2" t="s">
        <v>51</v>
      </c>
      <c r="K28" t="s">
        <v>1</v>
      </c>
      <c r="L28" t="s">
        <v>0</v>
      </c>
      <c r="M28" t="s">
        <v>16</v>
      </c>
    </row>
    <row r="29" spans="1:13" x14ac:dyDescent="0.25">
      <c r="G29" t="s">
        <v>45</v>
      </c>
      <c r="H29">
        <v>28.95</v>
      </c>
      <c r="I29" t="s">
        <v>18</v>
      </c>
      <c r="J29" s="2" t="s">
        <v>52</v>
      </c>
      <c r="K29" t="s">
        <v>1</v>
      </c>
      <c r="L29" t="s">
        <v>0</v>
      </c>
      <c r="M29" t="s">
        <v>16</v>
      </c>
    </row>
    <row r="30" spans="1:13" x14ac:dyDescent="0.25">
      <c r="G30" t="s">
        <v>21</v>
      </c>
      <c r="H30">
        <v>12.11</v>
      </c>
      <c r="I30" t="s">
        <v>18</v>
      </c>
      <c r="J30" s="2" t="s">
        <v>53</v>
      </c>
      <c r="K30" t="s">
        <v>1</v>
      </c>
      <c r="L30" t="s">
        <v>0</v>
      </c>
      <c r="M30" t="s">
        <v>16</v>
      </c>
    </row>
    <row r="31" spans="1:13" x14ac:dyDescent="0.25">
      <c r="G31" t="s">
        <v>21</v>
      </c>
      <c r="H31">
        <v>29.11</v>
      </c>
      <c r="I31" t="s">
        <v>18</v>
      </c>
      <c r="J31" s="2" t="s">
        <v>54</v>
      </c>
      <c r="K31" t="s">
        <v>1</v>
      </c>
      <c r="L31" t="s">
        <v>27</v>
      </c>
      <c r="M31" t="s">
        <v>16</v>
      </c>
    </row>
    <row r="32" spans="1:13" x14ac:dyDescent="0.25">
      <c r="G32" t="s">
        <v>21</v>
      </c>
      <c r="H32">
        <v>10.17</v>
      </c>
      <c r="I32" t="s">
        <v>18</v>
      </c>
      <c r="J32" s="2" t="s">
        <v>55</v>
      </c>
      <c r="K32" t="s">
        <v>1</v>
      </c>
      <c r="L32" t="s">
        <v>0</v>
      </c>
      <c r="M32" t="s">
        <v>16</v>
      </c>
    </row>
    <row r="33" spans="7:14" x14ac:dyDescent="0.25">
      <c r="G33" t="s">
        <v>21</v>
      </c>
      <c r="H33">
        <v>15.9</v>
      </c>
      <c r="I33" t="s">
        <v>18</v>
      </c>
      <c r="J33" s="2" t="s">
        <v>56</v>
      </c>
      <c r="K33" t="s">
        <v>1</v>
      </c>
      <c r="L33" t="s">
        <v>27</v>
      </c>
      <c r="M33" t="s">
        <v>16</v>
      </c>
    </row>
    <row r="34" spans="7:14" x14ac:dyDescent="0.25">
      <c r="G34" t="s">
        <v>45</v>
      </c>
      <c r="H34">
        <v>42.75</v>
      </c>
      <c r="I34" t="s">
        <v>18</v>
      </c>
      <c r="J34" s="2" t="s">
        <v>56</v>
      </c>
      <c r="K34" t="s">
        <v>1</v>
      </c>
      <c r="L34" t="s">
        <v>0</v>
      </c>
      <c r="M34" t="s">
        <v>16</v>
      </c>
    </row>
    <row r="35" spans="7:14" x14ac:dyDescent="0.25">
      <c r="G35" t="s">
        <v>57</v>
      </c>
      <c r="H35">
        <v>20</v>
      </c>
      <c r="I35" t="s">
        <v>18</v>
      </c>
      <c r="J35" s="2">
        <v>45627</v>
      </c>
      <c r="K35" t="s">
        <v>1</v>
      </c>
      <c r="L35" t="s">
        <v>27</v>
      </c>
      <c r="M35" t="s">
        <v>16</v>
      </c>
      <c r="N35" s="2">
        <v>45303</v>
      </c>
    </row>
    <row r="36" spans="7:14" x14ac:dyDescent="0.25">
      <c r="G36" t="s">
        <v>22</v>
      </c>
      <c r="H36">
        <v>350</v>
      </c>
      <c r="I36" t="s">
        <v>18</v>
      </c>
      <c r="J36" s="2">
        <v>45627</v>
      </c>
      <c r="K36" t="s">
        <v>0</v>
      </c>
      <c r="L36" t="s">
        <v>27</v>
      </c>
      <c r="M36" t="s">
        <v>16</v>
      </c>
      <c r="N36" s="2">
        <v>45303</v>
      </c>
    </row>
    <row r="37" spans="7:14" x14ac:dyDescent="0.25">
      <c r="G37" t="s">
        <v>45</v>
      </c>
      <c r="H37">
        <v>25.4</v>
      </c>
      <c r="I37" t="s">
        <v>18</v>
      </c>
      <c r="J37" s="2">
        <v>45633</v>
      </c>
      <c r="K37" t="s">
        <v>1</v>
      </c>
      <c r="L37" t="s">
        <v>0</v>
      </c>
      <c r="M37" t="s">
        <v>16</v>
      </c>
      <c r="N37" s="2">
        <v>45485</v>
      </c>
    </row>
    <row r="38" spans="7:14" x14ac:dyDescent="0.25">
      <c r="G38" t="s">
        <v>21</v>
      </c>
      <c r="H38">
        <v>31.19</v>
      </c>
      <c r="I38" t="s">
        <v>18</v>
      </c>
      <c r="J38" s="2">
        <v>45633</v>
      </c>
      <c r="K38" t="s">
        <v>1</v>
      </c>
      <c r="L38" t="s">
        <v>0</v>
      </c>
      <c r="M38" t="s">
        <v>16</v>
      </c>
      <c r="N38" s="2">
        <v>45485</v>
      </c>
    </row>
    <row r="39" spans="7:14" x14ac:dyDescent="0.25">
      <c r="G39" t="s">
        <v>58</v>
      </c>
      <c r="H39">
        <v>35.200000000000003</v>
      </c>
      <c r="I39" t="s">
        <v>18</v>
      </c>
      <c r="J39" s="2">
        <v>45630</v>
      </c>
      <c r="K39" t="s">
        <v>1</v>
      </c>
      <c r="L39" t="s">
        <v>0</v>
      </c>
      <c r="M39" t="s">
        <v>16</v>
      </c>
      <c r="N39" s="2">
        <v>45394</v>
      </c>
    </row>
    <row r="40" spans="7:14" x14ac:dyDescent="0.25">
      <c r="G40" t="s">
        <v>21</v>
      </c>
      <c r="H40">
        <v>24.26</v>
      </c>
      <c r="I40" t="s">
        <v>18</v>
      </c>
      <c r="J40" s="2">
        <v>45629</v>
      </c>
      <c r="K40" t="s">
        <v>1</v>
      </c>
      <c r="L40" t="s">
        <v>0</v>
      </c>
      <c r="M40" t="s">
        <v>16</v>
      </c>
      <c r="N40" s="2">
        <v>45363</v>
      </c>
    </row>
    <row r="41" spans="7:14" x14ac:dyDescent="0.25">
      <c r="G41" t="s">
        <v>21</v>
      </c>
      <c r="H41">
        <v>5.98</v>
      </c>
      <c r="I41" t="s">
        <v>18</v>
      </c>
      <c r="J41" s="2">
        <v>45628</v>
      </c>
      <c r="K41" t="s">
        <v>1</v>
      </c>
      <c r="L41" t="s">
        <v>27</v>
      </c>
      <c r="M41" t="s">
        <v>16</v>
      </c>
      <c r="N41" s="2">
        <v>45334</v>
      </c>
    </row>
    <row r="42" spans="7:14" x14ac:dyDescent="0.25">
      <c r="G42" t="s">
        <v>43</v>
      </c>
      <c r="H42">
        <v>9</v>
      </c>
      <c r="I42" t="s">
        <v>18</v>
      </c>
      <c r="J42" s="2">
        <v>45633</v>
      </c>
      <c r="K42" t="s">
        <v>0</v>
      </c>
      <c r="L42" t="s">
        <v>27</v>
      </c>
      <c r="M42" t="s">
        <v>16</v>
      </c>
      <c r="N42" s="2">
        <v>45633</v>
      </c>
    </row>
    <row r="43" spans="7:14" x14ac:dyDescent="0.25">
      <c r="G43" t="s">
        <v>60</v>
      </c>
      <c r="H43">
        <v>9</v>
      </c>
      <c r="I43" t="s">
        <v>18</v>
      </c>
      <c r="J43" s="2" t="s">
        <v>61</v>
      </c>
      <c r="K43" t="s">
        <v>0</v>
      </c>
      <c r="L43" t="s">
        <v>0</v>
      </c>
      <c r="M43" t="s">
        <v>16</v>
      </c>
    </row>
    <row r="44" spans="7:14" x14ac:dyDescent="0.25">
      <c r="G44" t="s">
        <v>62</v>
      </c>
      <c r="H44">
        <v>0.5</v>
      </c>
      <c r="I44" t="s">
        <v>18</v>
      </c>
      <c r="J44" s="2">
        <v>45633</v>
      </c>
      <c r="K44" t="s">
        <v>1</v>
      </c>
      <c r="L44" t="s">
        <v>0</v>
      </c>
      <c r="M44" t="s">
        <v>16</v>
      </c>
    </row>
    <row r="45" spans="7:14" x14ac:dyDescent="0.25">
      <c r="G45" t="s">
        <v>21</v>
      </c>
      <c r="H45">
        <v>20.73</v>
      </c>
      <c r="I45" t="s">
        <v>18</v>
      </c>
      <c r="J45" s="2">
        <v>45637</v>
      </c>
      <c r="K45" t="s">
        <v>1</v>
      </c>
      <c r="L45" t="s">
        <v>27</v>
      </c>
      <c r="M45" t="s">
        <v>16</v>
      </c>
    </row>
    <row r="46" spans="7:14" x14ac:dyDescent="0.25">
      <c r="G46" t="s">
        <v>63</v>
      </c>
      <c r="H46">
        <v>9</v>
      </c>
      <c r="I46" t="s">
        <v>18</v>
      </c>
      <c r="J46" s="2">
        <v>45633</v>
      </c>
      <c r="K46" t="s">
        <v>0</v>
      </c>
      <c r="L46" t="s">
        <v>27</v>
      </c>
      <c r="M46" t="s">
        <v>16</v>
      </c>
    </row>
    <row r="47" spans="7:14" x14ac:dyDescent="0.25">
      <c r="G47" t="s">
        <v>64</v>
      </c>
      <c r="H47">
        <v>18.3</v>
      </c>
      <c r="I47" t="s">
        <v>18</v>
      </c>
      <c r="J47" s="2" t="s">
        <v>65</v>
      </c>
      <c r="K47" t="s">
        <v>1</v>
      </c>
      <c r="L47" t="s">
        <v>0</v>
      </c>
      <c r="M47" t="s">
        <v>16</v>
      </c>
    </row>
    <row r="48" spans="7:14" x14ac:dyDescent="0.25">
      <c r="G48" t="s">
        <v>21</v>
      </c>
      <c r="H48">
        <v>36.25</v>
      </c>
      <c r="I48" t="s">
        <v>18</v>
      </c>
      <c r="J48" s="2" t="s">
        <v>66</v>
      </c>
      <c r="K48" t="s">
        <v>1</v>
      </c>
      <c r="L48" t="s">
        <v>0</v>
      </c>
      <c r="M48" t="s">
        <v>16</v>
      </c>
    </row>
    <row r="49" spans="6:13" x14ac:dyDescent="0.25">
      <c r="G49" t="s">
        <v>21</v>
      </c>
      <c r="H49">
        <v>8.7100000000000009</v>
      </c>
      <c r="I49" t="s">
        <v>18</v>
      </c>
      <c r="J49" s="2" t="s">
        <v>67</v>
      </c>
      <c r="K49" t="s">
        <v>1</v>
      </c>
      <c r="L49" t="s">
        <v>0</v>
      </c>
      <c r="M49" t="s">
        <v>16</v>
      </c>
    </row>
    <row r="50" spans="6:13" x14ac:dyDescent="0.25">
      <c r="G50" t="s">
        <v>21</v>
      </c>
      <c r="H50">
        <v>20.25</v>
      </c>
      <c r="I50" t="s">
        <v>18</v>
      </c>
      <c r="J50" s="2" t="s">
        <v>68</v>
      </c>
      <c r="K50" t="s">
        <v>1</v>
      </c>
      <c r="L50" t="s">
        <v>27</v>
      </c>
      <c r="M50" t="s">
        <v>16</v>
      </c>
    </row>
    <row r="51" spans="6:13" x14ac:dyDescent="0.25">
      <c r="G51" t="s">
        <v>21</v>
      </c>
      <c r="H51">
        <v>12.65</v>
      </c>
      <c r="I51" t="s">
        <v>18</v>
      </c>
      <c r="J51" s="2" t="s">
        <v>61</v>
      </c>
      <c r="K51" t="s">
        <v>1</v>
      </c>
      <c r="L51" t="s">
        <v>0</v>
      </c>
      <c r="M51" t="s">
        <v>16</v>
      </c>
    </row>
    <row r="52" spans="6:13" x14ac:dyDescent="0.25">
      <c r="G52" t="s">
        <v>21</v>
      </c>
      <c r="H52">
        <v>38.130000000000003</v>
      </c>
      <c r="I52" t="s">
        <v>18</v>
      </c>
      <c r="J52" s="2" t="s">
        <v>68</v>
      </c>
      <c r="K52" t="s">
        <v>1</v>
      </c>
      <c r="L52" t="s">
        <v>0</v>
      </c>
      <c r="M52" t="s">
        <v>16</v>
      </c>
    </row>
    <row r="53" spans="6:13" x14ac:dyDescent="0.25">
      <c r="G53" t="s">
        <v>70</v>
      </c>
      <c r="H53">
        <v>26.13</v>
      </c>
      <c r="I53" t="s">
        <v>18</v>
      </c>
      <c r="J53" s="2" t="s">
        <v>69</v>
      </c>
      <c r="K53" t="s">
        <v>0</v>
      </c>
      <c r="L53" t="s">
        <v>0</v>
      </c>
      <c r="M53" t="s">
        <v>16</v>
      </c>
    </row>
    <row r="54" spans="6:13" x14ac:dyDescent="0.25">
      <c r="F54" t="s">
        <v>77</v>
      </c>
      <c r="G54" t="s">
        <v>71</v>
      </c>
      <c r="H54">
        <v>74</v>
      </c>
      <c r="I54" t="s">
        <v>18</v>
      </c>
      <c r="J54" s="2">
        <v>45638</v>
      </c>
      <c r="K54" t="s">
        <v>1</v>
      </c>
      <c r="L54" t="s">
        <v>27</v>
      </c>
      <c r="M54" t="s">
        <v>16</v>
      </c>
    </row>
    <row r="55" spans="6:13" x14ac:dyDescent="0.25">
      <c r="F55" t="s">
        <v>77</v>
      </c>
      <c r="G55" t="s">
        <v>72</v>
      </c>
      <c r="H55">
        <v>88.8</v>
      </c>
      <c r="I55" t="s">
        <v>18</v>
      </c>
      <c r="J55" s="2">
        <v>45638</v>
      </c>
      <c r="K55" t="s">
        <v>1</v>
      </c>
      <c r="L55" t="s">
        <v>27</v>
      </c>
      <c r="M55" t="s">
        <v>16</v>
      </c>
    </row>
    <row r="56" spans="6:13" x14ac:dyDescent="0.25">
      <c r="G56" t="s">
        <v>21</v>
      </c>
      <c r="H56">
        <v>26.85</v>
      </c>
      <c r="I56" t="s">
        <v>18</v>
      </c>
      <c r="J56" s="2" t="s">
        <v>73</v>
      </c>
      <c r="K56" t="s">
        <v>1</v>
      </c>
      <c r="L56" t="s">
        <v>0</v>
      </c>
      <c r="M56" t="s">
        <v>16</v>
      </c>
    </row>
    <row r="57" spans="6:13" x14ac:dyDescent="0.25">
      <c r="G57" t="s">
        <v>21</v>
      </c>
      <c r="H57">
        <v>13.62</v>
      </c>
      <c r="I57" t="s">
        <v>18</v>
      </c>
      <c r="J57" s="2" t="s">
        <v>74</v>
      </c>
      <c r="K57" t="s">
        <v>1</v>
      </c>
      <c r="L57" t="s">
        <v>0</v>
      </c>
      <c r="M57" t="s">
        <v>16</v>
      </c>
    </row>
    <row r="58" spans="6:13" x14ac:dyDescent="0.25">
      <c r="G58" t="s">
        <v>21</v>
      </c>
      <c r="H58">
        <v>11.69</v>
      </c>
      <c r="I58" t="s">
        <v>18</v>
      </c>
      <c r="J58" s="2" t="s">
        <v>75</v>
      </c>
      <c r="K58" t="s">
        <v>1</v>
      </c>
      <c r="L58" t="s">
        <v>0</v>
      </c>
      <c r="M58" t="s">
        <v>16</v>
      </c>
    </row>
    <row r="59" spans="6:13" x14ac:dyDescent="0.25">
      <c r="G59" t="s">
        <v>21</v>
      </c>
      <c r="H59">
        <v>17.7</v>
      </c>
      <c r="I59" t="s">
        <v>18</v>
      </c>
      <c r="J59" s="2" t="s">
        <v>76</v>
      </c>
      <c r="K59" t="s">
        <v>1</v>
      </c>
      <c r="L59" t="s">
        <v>0</v>
      </c>
      <c r="M59" t="s">
        <v>16</v>
      </c>
    </row>
    <row r="60" spans="6:13" x14ac:dyDescent="0.25">
      <c r="F60" t="s">
        <v>77</v>
      </c>
      <c r="G60" t="s">
        <v>78</v>
      </c>
      <c r="H60">
        <v>24</v>
      </c>
      <c r="I60" t="s">
        <v>18</v>
      </c>
      <c r="J60" s="2" t="s">
        <v>79</v>
      </c>
      <c r="K60" t="s">
        <v>1</v>
      </c>
      <c r="L60" t="s">
        <v>27</v>
      </c>
      <c r="M60" t="s">
        <v>16</v>
      </c>
    </row>
    <row r="61" spans="6:13" x14ac:dyDescent="0.25">
      <c r="F61" t="s">
        <v>77</v>
      </c>
      <c r="G61" t="s">
        <v>62</v>
      </c>
      <c r="H61">
        <v>1.25</v>
      </c>
      <c r="I61" t="s">
        <v>18</v>
      </c>
      <c r="J61" s="2" t="s">
        <v>79</v>
      </c>
      <c r="K61" t="s">
        <v>1</v>
      </c>
      <c r="L61" t="s">
        <v>27</v>
      </c>
      <c r="M61" t="s">
        <v>16</v>
      </c>
    </row>
    <row r="62" spans="6:13" x14ac:dyDescent="0.25">
      <c r="F62" t="s">
        <v>77</v>
      </c>
      <c r="G62" t="s">
        <v>80</v>
      </c>
      <c r="H62">
        <v>8.1</v>
      </c>
      <c r="I62" t="s">
        <v>18</v>
      </c>
      <c r="J62" s="2" t="s">
        <v>79</v>
      </c>
      <c r="K62" t="s">
        <v>1</v>
      </c>
      <c r="L62" t="s">
        <v>59</v>
      </c>
      <c r="M62" t="s">
        <v>16</v>
      </c>
    </row>
    <row r="63" spans="6:13" x14ac:dyDescent="0.25">
      <c r="F63" t="s">
        <v>77</v>
      </c>
      <c r="G63" t="s">
        <v>81</v>
      </c>
      <c r="H63">
        <v>14</v>
      </c>
      <c r="I63" t="s">
        <v>18</v>
      </c>
      <c r="J63" s="2" t="s">
        <v>79</v>
      </c>
      <c r="K63" t="s">
        <v>1</v>
      </c>
      <c r="L63" t="s">
        <v>0</v>
      </c>
      <c r="M63" t="s">
        <v>16</v>
      </c>
    </row>
    <row r="64" spans="6:13" x14ac:dyDescent="0.25">
      <c r="F64" t="s">
        <v>77</v>
      </c>
      <c r="G64" t="s">
        <v>35</v>
      </c>
      <c r="H64">
        <v>9</v>
      </c>
      <c r="I64" t="s">
        <v>18</v>
      </c>
      <c r="J64" s="2" t="s">
        <v>79</v>
      </c>
      <c r="K64" t="s">
        <v>1</v>
      </c>
      <c r="L64" t="s">
        <v>0</v>
      </c>
      <c r="M64" t="s">
        <v>16</v>
      </c>
    </row>
    <row r="65" spans="6:13" x14ac:dyDescent="0.25">
      <c r="F65" t="s">
        <v>77</v>
      </c>
      <c r="G65" t="s">
        <v>80</v>
      </c>
      <c r="H65">
        <v>4.41</v>
      </c>
      <c r="I65" t="s">
        <v>18</v>
      </c>
      <c r="J65" s="2" t="s">
        <v>82</v>
      </c>
      <c r="K65" t="s">
        <v>27</v>
      </c>
      <c r="L65" t="s">
        <v>0</v>
      </c>
      <c r="M65" t="s">
        <v>16</v>
      </c>
    </row>
    <row r="66" spans="6:13" x14ac:dyDescent="0.25">
      <c r="F66" t="s">
        <v>77</v>
      </c>
      <c r="G66" t="s">
        <v>83</v>
      </c>
      <c r="H66">
        <v>11</v>
      </c>
      <c r="I66" t="s">
        <v>18</v>
      </c>
      <c r="J66" s="2" t="s">
        <v>82</v>
      </c>
      <c r="K66" t="s">
        <v>1</v>
      </c>
      <c r="L66" t="s">
        <v>0</v>
      </c>
      <c r="M66" t="s">
        <v>16</v>
      </c>
    </row>
    <row r="67" spans="6:13" x14ac:dyDescent="0.25">
      <c r="F67" t="s">
        <v>77</v>
      </c>
      <c r="G67" t="s">
        <v>84</v>
      </c>
      <c r="H67">
        <v>8.1999999999999993</v>
      </c>
      <c r="I67" t="s">
        <v>18</v>
      </c>
      <c r="J67" s="2" t="s">
        <v>82</v>
      </c>
      <c r="K67" t="s">
        <v>1</v>
      </c>
      <c r="L67" t="s">
        <v>0</v>
      </c>
      <c r="M67" t="s">
        <v>16</v>
      </c>
    </row>
    <row r="68" spans="6:13" x14ac:dyDescent="0.25">
      <c r="F68" t="s">
        <v>77</v>
      </c>
      <c r="G68" t="s">
        <v>80</v>
      </c>
      <c r="H68">
        <v>7.6</v>
      </c>
      <c r="I68" t="s">
        <v>18</v>
      </c>
      <c r="J68" s="2" t="s">
        <v>75</v>
      </c>
      <c r="K68" t="s">
        <v>1</v>
      </c>
      <c r="L68" t="s">
        <v>0</v>
      </c>
      <c r="M68" t="s">
        <v>16</v>
      </c>
    </row>
    <row r="69" spans="6:13" x14ac:dyDescent="0.25">
      <c r="F69" t="s">
        <v>77</v>
      </c>
      <c r="G69" t="s">
        <v>84</v>
      </c>
      <c r="H69">
        <v>3.03</v>
      </c>
      <c r="I69" t="s">
        <v>18</v>
      </c>
      <c r="J69" s="2" t="s">
        <v>82</v>
      </c>
      <c r="K69" t="s">
        <v>1</v>
      </c>
      <c r="L69" t="s">
        <v>0</v>
      </c>
      <c r="M69" t="s">
        <v>16</v>
      </c>
    </row>
    <row r="70" spans="6:13" x14ac:dyDescent="0.25">
      <c r="G70" t="s">
        <v>21</v>
      </c>
      <c r="H70">
        <v>6.95</v>
      </c>
      <c r="I70" t="s">
        <v>18</v>
      </c>
      <c r="J70" s="2" t="s">
        <v>85</v>
      </c>
      <c r="K70" t="s">
        <v>1</v>
      </c>
      <c r="L70" t="s">
        <v>0</v>
      </c>
      <c r="M70" t="s">
        <v>16</v>
      </c>
    </row>
    <row r="71" spans="6:13" x14ac:dyDescent="0.25">
      <c r="G71" t="s">
        <v>21</v>
      </c>
      <c r="H71">
        <v>25</v>
      </c>
      <c r="I71" t="s">
        <v>18</v>
      </c>
      <c r="J71" s="2">
        <v>45661</v>
      </c>
      <c r="K71" t="s">
        <v>1</v>
      </c>
      <c r="L71" t="s">
        <v>27</v>
      </c>
      <c r="M71" t="s">
        <v>16</v>
      </c>
    </row>
    <row r="72" spans="6:13" x14ac:dyDescent="0.25">
      <c r="G72" t="s">
        <v>21</v>
      </c>
      <c r="H72">
        <v>12.73</v>
      </c>
      <c r="I72" t="s">
        <v>18</v>
      </c>
      <c r="J72" s="2" t="s">
        <v>86</v>
      </c>
      <c r="K72" t="s">
        <v>1</v>
      </c>
      <c r="L72" t="s">
        <v>0</v>
      </c>
      <c r="M72" t="s">
        <v>16</v>
      </c>
    </row>
    <row r="73" spans="6:13" x14ac:dyDescent="0.25">
      <c r="G73" t="s">
        <v>21</v>
      </c>
      <c r="H73">
        <v>2.2200000000000002</v>
      </c>
      <c r="I73" t="s">
        <v>18</v>
      </c>
      <c r="J73" s="2">
        <v>45660</v>
      </c>
      <c r="K73" t="s">
        <v>1</v>
      </c>
      <c r="L73" t="s">
        <v>0</v>
      </c>
      <c r="M73" t="s">
        <v>16</v>
      </c>
    </row>
    <row r="74" spans="6:13" x14ac:dyDescent="0.25">
      <c r="G74" t="s">
        <v>21</v>
      </c>
      <c r="H74">
        <v>23.59</v>
      </c>
      <c r="I74" t="s">
        <v>18</v>
      </c>
      <c r="J74" s="2" t="s">
        <v>85</v>
      </c>
      <c r="K74" t="s">
        <v>1</v>
      </c>
      <c r="L74" t="s">
        <v>59</v>
      </c>
      <c r="M74" t="s">
        <v>16</v>
      </c>
    </row>
    <row r="75" spans="6:13" x14ac:dyDescent="0.25">
      <c r="G75" t="s">
        <v>87</v>
      </c>
      <c r="H75">
        <v>20</v>
      </c>
      <c r="I75" t="s">
        <v>18</v>
      </c>
      <c r="J75" s="2">
        <v>45659</v>
      </c>
      <c r="K75" t="s">
        <v>1</v>
      </c>
      <c r="L75" t="s">
        <v>0</v>
      </c>
      <c r="M75" t="s">
        <v>16</v>
      </c>
    </row>
    <row r="76" spans="6:13" x14ac:dyDescent="0.25">
      <c r="G76" t="s">
        <v>45</v>
      </c>
      <c r="H76">
        <v>35.4</v>
      </c>
      <c r="I76" t="s">
        <v>18</v>
      </c>
      <c r="J76" s="2" t="s">
        <v>85</v>
      </c>
      <c r="K76" t="s">
        <v>1</v>
      </c>
      <c r="L76" t="s">
        <v>59</v>
      </c>
      <c r="M76" t="s">
        <v>16</v>
      </c>
    </row>
    <row r="77" spans="6:13" x14ac:dyDescent="0.25">
      <c r="G77" t="s">
        <v>88</v>
      </c>
      <c r="H77">
        <f>290</f>
        <v>290</v>
      </c>
      <c r="I77" t="s">
        <v>18</v>
      </c>
      <c r="J77" s="2">
        <v>45663</v>
      </c>
      <c r="K77" t="s">
        <v>0</v>
      </c>
      <c r="L77" t="s">
        <v>0</v>
      </c>
      <c r="M77" t="s">
        <v>16</v>
      </c>
    </row>
    <row r="78" spans="6:13" x14ac:dyDescent="0.25">
      <c r="G78" t="s">
        <v>21</v>
      </c>
      <c r="H78">
        <v>29.24</v>
      </c>
      <c r="I78" t="s">
        <v>18</v>
      </c>
      <c r="J78" s="2" t="s">
        <v>89</v>
      </c>
      <c r="K78" t="s">
        <v>1</v>
      </c>
      <c r="L78" t="s">
        <v>59</v>
      </c>
      <c r="M78" t="s">
        <v>16</v>
      </c>
    </row>
    <row r="79" spans="6:13" x14ac:dyDescent="0.25">
      <c r="G79" t="s">
        <v>21</v>
      </c>
      <c r="H79">
        <v>37.979999999999997</v>
      </c>
      <c r="I79" t="s">
        <v>18</v>
      </c>
      <c r="J79" s="2" t="s">
        <v>90</v>
      </c>
      <c r="K79" t="s">
        <v>1</v>
      </c>
      <c r="L79" t="s">
        <v>59</v>
      </c>
      <c r="M79" t="s">
        <v>16</v>
      </c>
    </row>
    <row r="80" spans="6:13" x14ac:dyDescent="0.25">
      <c r="G80" t="s">
        <v>91</v>
      </c>
      <c r="H80">
        <v>6</v>
      </c>
      <c r="I80" t="s">
        <v>18</v>
      </c>
      <c r="J80" s="2" t="s">
        <v>92</v>
      </c>
      <c r="K80" t="s">
        <v>0</v>
      </c>
      <c r="L80" t="s">
        <v>0</v>
      </c>
      <c r="M80" t="s">
        <v>16</v>
      </c>
    </row>
    <row r="81" spans="6:14" x14ac:dyDescent="0.25">
      <c r="G81" t="s">
        <v>64</v>
      </c>
      <c r="H81">
        <v>20.8</v>
      </c>
      <c r="I81" t="s">
        <v>18</v>
      </c>
      <c r="J81" s="2">
        <v>45663</v>
      </c>
      <c r="K81" t="s">
        <v>1</v>
      </c>
      <c r="L81" t="s">
        <v>0</v>
      </c>
      <c r="M81" t="s">
        <v>16</v>
      </c>
      <c r="N81" s="2">
        <v>45809</v>
      </c>
    </row>
    <row r="82" spans="6:14" x14ac:dyDescent="0.25">
      <c r="G82" t="s">
        <v>21</v>
      </c>
      <c r="H82">
        <v>50.06</v>
      </c>
      <c r="I82" t="s">
        <v>18</v>
      </c>
      <c r="J82" s="2">
        <v>45664</v>
      </c>
      <c r="K82" t="s">
        <v>1</v>
      </c>
      <c r="L82" t="s">
        <v>59</v>
      </c>
      <c r="M82" t="s">
        <v>16</v>
      </c>
      <c r="N82" s="2">
        <v>45839</v>
      </c>
    </row>
    <row r="83" spans="6:14" x14ac:dyDescent="0.25">
      <c r="G83" t="s">
        <v>21</v>
      </c>
      <c r="H83">
        <v>19.600000000000001</v>
      </c>
      <c r="I83" t="s">
        <v>18</v>
      </c>
      <c r="J83" s="2">
        <v>45666</v>
      </c>
      <c r="K83" t="s">
        <v>1</v>
      </c>
      <c r="L83" t="s">
        <v>0</v>
      </c>
      <c r="M83" t="s">
        <v>16</v>
      </c>
      <c r="N83" s="2">
        <v>45901</v>
      </c>
    </row>
    <row r="84" spans="6:14" x14ac:dyDescent="0.25">
      <c r="G84" t="s">
        <v>64</v>
      </c>
      <c r="H84">
        <v>28.7</v>
      </c>
      <c r="I84" t="s">
        <v>18</v>
      </c>
      <c r="J84" s="2">
        <v>45667</v>
      </c>
      <c r="K84" t="s">
        <v>1</v>
      </c>
      <c r="L84" t="s">
        <v>59</v>
      </c>
      <c r="M84" t="s">
        <v>16</v>
      </c>
      <c r="N84" s="2">
        <v>45931</v>
      </c>
    </row>
    <row r="85" spans="6:14" x14ac:dyDescent="0.25">
      <c r="F85" t="s">
        <v>93</v>
      </c>
      <c r="G85" t="s">
        <v>21</v>
      </c>
      <c r="H85">
        <v>4.28</v>
      </c>
      <c r="I85" t="s">
        <v>18</v>
      </c>
      <c r="J85" s="2">
        <v>45668</v>
      </c>
      <c r="K85" t="s">
        <v>1</v>
      </c>
      <c r="L85" t="s">
        <v>0</v>
      </c>
      <c r="M85" t="s">
        <v>16</v>
      </c>
      <c r="N85" s="2">
        <v>45962</v>
      </c>
    </row>
    <row r="86" spans="6:14" x14ac:dyDescent="0.25">
      <c r="G86" t="s">
        <v>30</v>
      </c>
      <c r="H86">
        <v>10</v>
      </c>
      <c r="I86" t="s">
        <v>18</v>
      </c>
      <c r="J86" s="2">
        <v>45664</v>
      </c>
      <c r="K86" t="s">
        <v>0</v>
      </c>
      <c r="L86" t="s">
        <v>0</v>
      </c>
      <c r="M86" t="s">
        <v>16</v>
      </c>
      <c r="N86" s="2">
        <v>45839</v>
      </c>
    </row>
    <row r="87" spans="6:14" x14ac:dyDescent="0.25">
      <c r="F87" t="s">
        <v>93</v>
      </c>
      <c r="G87" t="s">
        <v>94</v>
      </c>
      <c r="H87">
        <v>44.8</v>
      </c>
      <c r="I87" t="s">
        <v>18</v>
      </c>
      <c r="J87" s="2">
        <v>45665</v>
      </c>
      <c r="K87" t="s">
        <v>1</v>
      </c>
      <c r="L87" t="s">
        <v>59</v>
      </c>
      <c r="M87" t="s">
        <v>16</v>
      </c>
      <c r="N87" s="2">
        <v>45870</v>
      </c>
    </row>
    <row r="88" spans="6:14" x14ac:dyDescent="0.25">
      <c r="F88" t="s">
        <v>93</v>
      </c>
      <c r="G88" t="s">
        <v>95</v>
      </c>
      <c r="H88">
        <v>12.1</v>
      </c>
      <c r="I88" t="s">
        <v>18</v>
      </c>
      <c r="J88" s="2">
        <v>45668</v>
      </c>
      <c r="K88" t="s">
        <v>1</v>
      </c>
      <c r="L88" t="s">
        <v>0</v>
      </c>
      <c r="M88" t="s">
        <v>16</v>
      </c>
      <c r="N88" s="2">
        <v>45962</v>
      </c>
    </row>
    <row r="89" spans="6:14" x14ac:dyDescent="0.25">
      <c r="F89" t="s">
        <v>93</v>
      </c>
      <c r="G89" t="s">
        <v>96</v>
      </c>
      <c r="H89">
        <v>6</v>
      </c>
      <c r="I89" t="s">
        <v>18</v>
      </c>
      <c r="J89" s="2">
        <v>45668</v>
      </c>
      <c r="K89" t="s">
        <v>1</v>
      </c>
      <c r="L89" t="s">
        <v>0</v>
      </c>
      <c r="M89" t="s">
        <v>16</v>
      </c>
      <c r="N89" s="2">
        <v>45962</v>
      </c>
    </row>
    <row r="90" spans="6:14" x14ac:dyDescent="0.25">
      <c r="F90" t="s">
        <v>93</v>
      </c>
      <c r="G90" t="s">
        <v>21</v>
      </c>
      <c r="H90">
        <v>8.75</v>
      </c>
      <c r="I90" t="s">
        <v>18</v>
      </c>
      <c r="J90" s="2">
        <v>45668</v>
      </c>
      <c r="K90" t="s">
        <v>1</v>
      </c>
      <c r="L90" t="s">
        <v>0</v>
      </c>
      <c r="M90" t="s">
        <v>16</v>
      </c>
      <c r="N90" s="2">
        <v>45962</v>
      </c>
    </row>
    <row r="91" spans="6:14" x14ac:dyDescent="0.25">
      <c r="G91" t="s">
        <v>21</v>
      </c>
      <c r="H91">
        <v>11.12</v>
      </c>
      <c r="I91" t="s">
        <v>18</v>
      </c>
      <c r="J91" s="2">
        <v>45675</v>
      </c>
      <c r="K91" t="s">
        <v>1</v>
      </c>
      <c r="L91" t="s">
        <v>0</v>
      </c>
      <c r="M91" t="s">
        <v>16</v>
      </c>
    </row>
    <row r="92" spans="6:14" x14ac:dyDescent="0.25">
      <c r="G92" t="s">
        <v>97</v>
      </c>
      <c r="H92">
        <v>25.23</v>
      </c>
      <c r="I92" t="s">
        <v>18</v>
      </c>
      <c r="J92" s="2">
        <v>45665</v>
      </c>
      <c r="K92" t="s">
        <v>1</v>
      </c>
      <c r="L92" t="s">
        <v>27</v>
      </c>
      <c r="M92" t="s">
        <v>16</v>
      </c>
    </row>
    <row r="93" spans="6:14" x14ac:dyDescent="0.25">
      <c r="G93" t="s">
        <v>98</v>
      </c>
      <c r="H93">
        <v>27</v>
      </c>
      <c r="I93" t="s">
        <v>18</v>
      </c>
      <c r="J93" s="2">
        <v>45669</v>
      </c>
      <c r="K93" t="s">
        <v>1</v>
      </c>
      <c r="L93" t="s">
        <v>27</v>
      </c>
      <c r="M93" t="s">
        <v>16</v>
      </c>
    </row>
    <row r="94" spans="6:14" x14ac:dyDescent="0.25">
      <c r="G94" t="s">
        <v>21</v>
      </c>
      <c r="H94">
        <v>12.06</v>
      </c>
      <c r="I94" t="s">
        <v>18</v>
      </c>
      <c r="J94" s="2">
        <v>45699</v>
      </c>
      <c r="K94" t="s">
        <v>1</v>
      </c>
      <c r="L94" t="s">
        <v>0</v>
      </c>
      <c r="M94" t="s">
        <v>16</v>
      </c>
    </row>
    <row r="95" spans="6:14" x14ac:dyDescent="0.25">
      <c r="G95" t="s">
        <v>21</v>
      </c>
      <c r="H95">
        <v>17.899999999999999</v>
      </c>
      <c r="I95" t="s">
        <v>18</v>
      </c>
      <c r="J95" s="2">
        <v>45681</v>
      </c>
      <c r="K95" t="s">
        <v>1</v>
      </c>
      <c r="L95" t="s">
        <v>27</v>
      </c>
      <c r="M95" t="s">
        <v>16</v>
      </c>
    </row>
    <row r="96" spans="6:14" x14ac:dyDescent="0.25">
      <c r="G96" t="s">
        <v>21</v>
      </c>
      <c r="H96">
        <v>40.29</v>
      </c>
      <c r="I96" t="s">
        <v>18</v>
      </c>
      <c r="J96" s="2">
        <v>45679</v>
      </c>
      <c r="K96" t="s">
        <v>1</v>
      </c>
      <c r="L96" t="s">
        <v>0</v>
      </c>
      <c r="M96" t="s">
        <v>16</v>
      </c>
    </row>
    <row r="97" spans="6:13" x14ac:dyDescent="0.25">
      <c r="G97" t="s">
        <v>21</v>
      </c>
      <c r="H97">
        <v>23.07</v>
      </c>
      <c r="I97" t="s">
        <v>18</v>
      </c>
      <c r="J97" s="2">
        <v>45691</v>
      </c>
      <c r="K97" t="s">
        <v>1</v>
      </c>
      <c r="L97" t="s">
        <v>0</v>
      </c>
      <c r="M97" t="s">
        <v>16</v>
      </c>
    </row>
    <row r="98" spans="6:13" x14ac:dyDescent="0.25">
      <c r="G98" t="s">
        <v>21</v>
      </c>
      <c r="H98">
        <v>5.18</v>
      </c>
      <c r="I98" t="s">
        <v>18</v>
      </c>
      <c r="J98" s="2">
        <v>45698</v>
      </c>
      <c r="K98" t="s">
        <v>1</v>
      </c>
      <c r="L98" t="s">
        <v>0</v>
      </c>
      <c r="M98" t="s">
        <v>16</v>
      </c>
    </row>
    <row r="99" spans="6:13" x14ac:dyDescent="0.25">
      <c r="G99" t="s">
        <v>21</v>
      </c>
      <c r="H99">
        <v>7.8</v>
      </c>
      <c r="I99" t="s">
        <v>18</v>
      </c>
      <c r="J99" s="2">
        <v>45695</v>
      </c>
      <c r="K99" t="s">
        <v>1</v>
      </c>
      <c r="L99" t="s">
        <v>0</v>
      </c>
      <c r="M99" t="s">
        <v>16</v>
      </c>
    </row>
    <row r="100" spans="6:13" x14ac:dyDescent="0.25">
      <c r="G100" t="s">
        <v>21</v>
      </c>
      <c r="H100">
        <v>21.96</v>
      </c>
      <c r="I100" t="s">
        <v>18</v>
      </c>
      <c r="J100" s="2">
        <v>45687</v>
      </c>
      <c r="K100" t="s">
        <v>1</v>
      </c>
      <c r="L100" t="s">
        <v>0</v>
      </c>
      <c r="M100" t="s">
        <v>16</v>
      </c>
    </row>
    <row r="101" spans="6:13" x14ac:dyDescent="0.25">
      <c r="G101" t="s">
        <v>21</v>
      </c>
      <c r="H101">
        <v>39.42</v>
      </c>
      <c r="I101" t="s">
        <v>18</v>
      </c>
      <c r="J101" s="2">
        <v>45696</v>
      </c>
      <c r="K101" t="s">
        <v>1</v>
      </c>
      <c r="L101" t="s">
        <v>27</v>
      </c>
      <c r="M101" t="s">
        <v>16</v>
      </c>
    </row>
    <row r="102" spans="6:13" x14ac:dyDescent="0.25">
      <c r="G102" t="s">
        <v>80</v>
      </c>
      <c r="H102">
        <v>4.5999999999999996</v>
      </c>
      <c r="I102" t="s">
        <v>18</v>
      </c>
      <c r="J102" s="2">
        <v>45685</v>
      </c>
      <c r="K102" t="s">
        <v>1</v>
      </c>
      <c r="L102" t="s">
        <v>27</v>
      </c>
      <c r="M102" t="s">
        <v>16</v>
      </c>
    </row>
    <row r="103" spans="6:13" x14ac:dyDescent="0.25">
      <c r="G103" t="s">
        <v>21</v>
      </c>
      <c r="H103">
        <v>35.909999999999997</v>
      </c>
      <c r="I103" t="s">
        <v>18</v>
      </c>
      <c r="J103" s="2">
        <v>45684</v>
      </c>
      <c r="K103" t="s">
        <v>1</v>
      </c>
      <c r="L103" t="s">
        <v>27</v>
      </c>
      <c r="M103" t="s">
        <v>16</v>
      </c>
    </row>
    <row r="104" spans="6:13" x14ac:dyDescent="0.25">
      <c r="G104" t="s">
        <v>64</v>
      </c>
      <c r="H104">
        <v>22.35</v>
      </c>
      <c r="I104" t="s">
        <v>18</v>
      </c>
      <c r="J104" s="2">
        <v>45676</v>
      </c>
      <c r="K104" t="s">
        <v>1</v>
      </c>
      <c r="L104" t="s">
        <v>0</v>
      </c>
      <c r="M104" t="s">
        <v>16</v>
      </c>
    </row>
    <row r="105" spans="6:13" x14ac:dyDescent="0.25">
      <c r="G105" t="s">
        <v>21</v>
      </c>
      <c r="H105">
        <v>6.03</v>
      </c>
      <c r="I105" t="s">
        <v>18</v>
      </c>
      <c r="J105" s="2">
        <v>45701</v>
      </c>
      <c r="K105" t="s">
        <v>1</v>
      </c>
      <c r="L105" t="s">
        <v>0</v>
      </c>
      <c r="M105" t="s">
        <v>16</v>
      </c>
    </row>
    <row r="106" spans="6:13" x14ac:dyDescent="0.25">
      <c r="G106" t="s">
        <v>64</v>
      </c>
      <c r="H106">
        <v>26.2</v>
      </c>
      <c r="I106" t="s">
        <v>18</v>
      </c>
      <c r="J106" s="2">
        <v>45689</v>
      </c>
      <c r="K106" t="s">
        <v>1</v>
      </c>
      <c r="L106" t="s">
        <v>0</v>
      </c>
      <c r="M106" t="s">
        <v>16</v>
      </c>
    </row>
    <row r="107" spans="6:13" x14ac:dyDescent="0.25">
      <c r="G107" t="s">
        <v>21</v>
      </c>
      <c r="H107">
        <v>13.37</v>
      </c>
      <c r="I107" t="s">
        <v>18</v>
      </c>
      <c r="J107" s="2">
        <v>45693</v>
      </c>
      <c r="K107" t="s">
        <v>1</v>
      </c>
      <c r="L107" t="s">
        <v>0</v>
      </c>
      <c r="M107" t="s">
        <v>16</v>
      </c>
    </row>
    <row r="108" spans="6:13" x14ac:dyDescent="0.25">
      <c r="G108" t="s">
        <v>91</v>
      </c>
      <c r="H108">
        <v>3</v>
      </c>
      <c r="I108" t="s">
        <v>18</v>
      </c>
      <c r="J108" s="2">
        <v>45689</v>
      </c>
      <c r="K108" t="s">
        <v>0</v>
      </c>
      <c r="L108" t="s">
        <v>27</v>
      </c>
      <c r="M108" t="s">
        <v>16</v>
      </c>
    </row>
    <row r="109" spans="6:13" x14ac:dyDescent="0.25">
      <c r="G109" t="s">
        <v>99</v>
      </c>
      <c r="H109">
        <v>4.6900000000000004</v>
      </c>
      <c r="I109" t="s">
        <v>18</v>
      </c>
      <c r="J109" s="2">
        <v>45701</v>
      </c>
      <c r="K109" t="s">
        <v>1</v>
      </c>
      <c r="L109" t="s">
        <v>0</v>
      </c>
      <c r="M109" t="s">
        <v>16</v>
      </c>
    </row>
    <row r="110" spans="6:13" x14ac:dyDescent="0.25">
      <c r="F110" t="s">
        <v>100</v>
      </c>
      <c r="G110" t="s">
        <v>21</v>
      </c>
      <c r="H110">
        <v>9.2100000000000009</v>
      </c>
      <c r="I110" t="s">
        <v>18</v>
      </c>
      <c r="J110" s="2">
        <v>45694</v>
      </c>
      <c r="K110" t="s">
        <v>1</v>
      </c>
      <c r="L110" t="s">
        <v>0</v>
      </c>
      <c r="M110" t="s">
        <v>16</v>
      </c>
    </row>
    <row r="111" spans="6:13" x14ac:dyDescent="0.25">
      <c r="F111" t="s">
        <v>100</v>
      </c>
      <c r="G111" t="s">
        <v>64</v>
      </c>
      <c r="H111">
        <v>32.1</v>
      </c>
      <c r="I111" t="s">
        <v>18</v>
      </c>
      <c r="J111" s="2">
        <v>45694</v>
      </c>
      <c r="K111" t="s">
        <v>1</v>
      </c>
      <c r="L111" t="s">
        <v>0</v>
      </c>
      <c r="M111" t="s">
        <v>16</v>
      </c>
    </row>
    <row r="112" spans="6:13" x14ac:dyDescent="0.25">
      <c r="F112" t="s">
        <v>100</v>
      </c>
      <c r="G112" t="s">
        <v>101</v>
      </c>
      <c r="H112">
        <v>43</v>
      </c>
      <c r="I112" t="s">
        <v>18</v>
      </c>
      <c r="J112" s="2">
        <v>45695</v>
      </c>
      <c r="K112" t="s">
        <v>1</v>
      </c>
      <c r="L112" t="s">
        <v>27</v>
      </c>
      <c r="M112" t="s">
        <v>16</v>
      </c>
    </row>
    <row r="113" spans="6:13" x14ac:dyDescent="0.25">
      <c r="F113" t="s">
        <v>100</v>
      </c>
      <c r="G113" t="s">
        <v>102</v>
      </c>
      <c r="H113">
        <v>30</v>
      </c>
      <c r="I113" t="s">
        <v>18</v>
      </c>
      <c r="J113" s="2">
        <v>45694</v>
      </c>
      <c r="K113" t="s">
        <v>1</v>
      </c>
      <c r="L113" t="s">
        <v>27</v>
      </c>
      <c r="M113" t="s">
        <v>16</v>
      </c>
    </row>
    <row r="114" spans="6:13" x14ac:dyDescent="0.25">
      <c r="F114" t="s">
        <v>100</v>
      </c>
      <c r="G114" t="s">
        <v>103</v>
      </c>
      <c r="H114">
        <v>2.5</v>
      </c>
      <c r="I114" t="s">
        <v>18</v>
      </c>
      <c r="J114" s="2">
        <v>45694</v>
      </c>
      <c r="K114" t="s">
        <v>0</v>
      </c>
      <c r="L114" t="s">
        <v>0</v>
      </c>
      <c r="M114" t="s">
        <v>16</v>
      </c>
    </row>
    <row r="115" spans="6:13" x14ac:dyDescent="0.25">
      <c r="F115" t="s">
        <v>100</v>
      </c>
      <c r="G115" t="s">
        <v>104</v>
      </c>
      <c r="H115">
        <v>3.2</v>
      </c>
      <c r="I115" t="s">
        <v>18</v>
      </c>
      <c r="J115" s="2">
        <v>45694</v>
      </c>
      <c r="K115" t="s">
        <v>1</v>
      </c>
      <c r="L115" t="s">
        <v>0</v>
      </c>
      <c r="M115" t="s">
        <v>16</v>
      </c>
    </row>
    <row r="116" spans="6:13" x14ac:dyDescent="0.25">
      <c r="G116" t="s">
        <v>60</v>
      </c>
      <c r="H116">
        <v>10</v>
      </c>
      <c r="I116" s="2" t="s">
        <v>18</v>
      </c>
      <c r="J116" s="2">
        <v>45693</v>
      </c>
      <c r="K116" t="s">
        <v>0</v>
      </c>
      <c r="L116" t="s">
        <v>0</v>
      </c>
      <c r="M116" t="s">
        <v>16</v>
      </c>
    </row>
    <row r="117" spans="6:13" x14ac:dyDescent="0.25">
      <c r="F117" t="s">
        <v>100</v>
      </c>
      <c r="G117" t="s">
        <v>105</v>
      </c>
      <c r="H117">
        <v>38.18</v>
      </c>
      <c r="I117" t="s">
        <v>18</v>
      </c>
      <c r="J117" s="2">
        <v>45693</v>
      </c>
      <c r="K117" t="s">
        <v>1</v>
      </c>
      <c r="L117" t="s">
        <v>59</v>
      </c>
      <c r="M117" t="s">
        <v>16</v>
      </c>
    </row>
    <row r="118" spans="6:13" x14ac:dyDescent="0.25">
      <c r="F118" t="s">
        <v>100</v>
      </c>
      <c r="G118" t="s">
        <v>106</v>
      </c>
      <c r="H118">
        <v>23</v>
      </c>
      <c r="I118" t="s">
        <v>18</v>
      </c>
      <c r="J118" s="2">
        <v>45694</v>
      </c>
      <c r="K118" t="s">
        <v>1</v>
      </c>
      <c r="L118" t="s">
        <v>27</v>
      </c>
      <c r="M118" t="s">
        <v>16</v>
      </c>
    </row>
    <row r="119" spans="6:13" x14ac:dyDescent="0.25">
      <c r="F119" t="s">
        <v>100</v>
      </c>
      <c r="G119" t="s">
        <v>80</v>
      </c>
      <c r="H119">
        <v>5.15</v>
      </c>
      <c r="I119" t="s">
        <v>18</v>
      </c>
      <c r="J119" s="2">
        <v>45695</v>
      </c>
      <c r="K119" t="s">
        <v>1</v>
      </c>
      <c r="L119" t="s">
        <v>27</v>
      </c>
      <c r="M119" t="s">
        <v>16</v>
      </c>
    </row>
    <row r="120" spans="6:13" x14ac:dyDescent="0.25">
      <c r="F120" t="s">
        <v>100</v>
      </c>
      <c r="G120" t="s">
        <v>107</v>
      </c>
      <c r="H120">
        <v>66.260000000000005</v>
      </c>
      <c r="I120" t="s">
        <v>18</v>
      </c>
      <c r="J120" s="2">
        <v>45690</v>
      </c>
      <c r="K120" t="s">
        <v>1</v>
      </c>
      <c r="L120" t="s">
        <v>0</v>
      </c>
      <c r="M120" t="s">
        <v>16</v>
      </c>
    </row>
    <row r="121" spans="6:13" x14ac:dyDescent="0.25">
      <c r="G121" t="s">
        <v>64</v>
      </c>
      <c r="H121">
        <v>22.55</v>
      </c>
      <c r="I121" t="s">
        <v>18</v>
      </c>
      <c r="J121" s="2">
        <v>45716</v>
      </c>
      <c r="K121" t="s">
        <v>1</v>
      </c>
      <c r="L121" t="s">
        <v>0</v>
      </c>
      <c r="M121" t="s">
        <v>16</v>
      </c>
    </row>
    <row r="122" spans="6:13" x14ac:dyDescent="0.25">
      <c r="G122" t="s">
        <v>22</v>
      </c>
      <c r="H122">
        <v>320</v>
      </c>
      <c r="I122" t="s">
        <v>18</v>
      </c>
      <c r="J122" s="2">
        <v>45693</v>
      </c>
      <c r="K122" t="s">
        <v>0</v>
      </c>
      <c r="L122" t="s">
        <v>27</v>
      </c>
      <c r="M122" t="s">
        <v>16</v>
      </c>
    </row>
    <row r="123" spans="6:13" x14ac:dyDescent="0.25">
      <c r="G123" t="s">
        <v>21</v>
      </c>
      <c r="H123">
        <v>20.13</v>
      </c>
      <c r="I123" t="s">
        <v>18</v>
      </c>
      <c r="J123" s="2">
        <v>45714</v>
      </c>
      <c r="K123" t="s">
        <v>1</v>
      </c>
      <c r="L123" t="s">
        <v>0</v>
      </c>
      <c r="M123" t="s">
        <v>16</v>
      </c>
    </row>
    <row r="124" spans="6:13" x14ac:dyDescent="0.25">
      <c r="G124" t="s">
        <v>21</v>
      </c>
      <c r="H124">
        <v>17.73</v>
      </c>
      <c r="I124" t="s">
        <v>18</v>
      </c>
      <c r="J124" s="2">
        <v>45703</v>
      </c>
      <c r="K124" t="s">
        <v>1</v>
      </c>
      <c r="L124" t="s">
        <v>27</v>
      </c>
      <c r="M124" t="s">
        <v>16</v>
      </c>
    </row>
    <row r="125" spans="6:13" x14ac:dyDescent="0.25">
      <c r="G125" t="s">
        <v>21</v>
      </c>
      <c r="H125">
        <v>11.88</v>
      </c>
      <c r="I125" t="s">
        <v>18</v>
      </c>
      <c r="J125" s="2">
        <v>45703</v>
      </c>
      <c r="K125" t="s">
        <v>1</v>
      </c>
      <c r="L125" t="s">
        <v>0</v>
      </c>
      <c r="M125" t="s">
        <v>16</v>
      </c>
    </row>
    <row r="126" spans="6:13" x14ac:dyDescent="0.25">
      <c r="G126" t="s">
        <v>21</v>
      </c>
      <c r="H126">
        <v>21.32</v>
      </c>
      <c r="I126" t="s">
        <v>18</v>
      </c>
      <c r="J126" s="2">
        <v>45702</v>
      </c>
      <c r="K126" t="s">
        <v>1</v>
      </c>
      <c r="L126" t="s">
        <v>0</v>
      </c>
      <c r="M126" t="s">
        <v>16</v>
      </c>
    </row>
    <row r="127" spans="6:13" x14ac:dyDescent="0.25">
      <c r="G127" t="s">
        <v>108</v>
      </c>
      <c r="H127">
        <v>8.18</v>
      </c>
      <c r="I127" t="s">
        <v>18</v>
      </c>
      <c r="J127" s="2">
        <v>45710</v>
      </c>
      <c r="K127" t="s">
        <v>1</v>
      </c>
      <c r="L127" t="s">
        <v>0</v>
      </c>
      <c r="M127" t="s">
        <v>16</v>
      </c>
    </row>
    <row r="128" spans="6:13" x14ac:dyDescent="0.25">
      <c r="G128" t="s">
        <v>109</v>
      </c>
      <c r="H128">
        <v>16.32</v>
      </c>
      <c r="I128" t="s">
        <v>18</v>
      </c>
      <c r="J128" s="2">
        <v>45705</v>
      </c>
      <c r="K128" t="s">
        <v>0</v>
      </c>
      <c r="L128" t="s">
        <v>27</v>
      </c>
      <c r="M128" t="s">
        <v>16</v>
      </c>
    </row>
    <row r="129" spans="7:13" x14ac:dyDescent="0.25">
      <c r="G129" t="s">
        <v>21</v>
      </c>
      <c r="H129">
        <v>18.25</v>
      </c>
      <c r="I129" t="s">
        <v>18</v>
      </c>
      <c r="J129" s="2">
        <v>45705</v>
      </c>
      <c r="K129" t="s">
        <v>1</v>
      </c>
      <c r="L129" t="s">
        <v>0</v>
      </c>
      <c r="M129" t="s">
        <v>16</v>
      </c>
    </row>
    <row r="130" spans="7:13" x14ac:dyDescent="0.25">
      <c r="G130" t="s">
        <v>21</v>
      </c>
      <c r="H130">
        <v>7.18</v>
      </c>
      <c r="I130" t="s">
        <v>18</v>
      </c>
      <c r="J130" s="2">
        <v>45710</v>
      </c>
      <c r="K130" t="s">
        <v>1</v>
      </c>
      <c r="L130" t="s">
        <v>0</v>
      </c>
      <c r="M130" t="s">
        <v>16</v>
      </c>
    </row>
    <row r="131" spans="7:13" x14ac:dyDescent="0.25">
      <c r="G131" t="s">
        <v>21</v>
      </c>
      <c r="H131">
        <v>35.69</v>
      </c>
      <c r="I131" t="s">
        <v>18</v>
      </c>
      <c r="J131" s="2">
        <v>45710</v>
      </c>
      <c r="K131" t="s">
        <v>1</v>
      </c>
      <c r="L131" t="s">
        <v>0</v>
      </c>
      <c r="M131" t="s">
        <v>16</v>
      </c>
    </row>
    <row r="132" spans="7:13" x14ac:dyDescent="0.25">
      <c r="G132" t="s">
        <v>64</v>
      </c>
      <c r="H132">
        <v>17.7</v>
      </c>
      <c r="I132" t="s">
        <v>18</v>
      </c>
      <c r="J132" s="2">
        <v>45710</v>
      </c>
      <c r="K132" t="s">
        <v>1</v>
      </c>
      <c r="L132" t="s">
        <v>0</v>
      </c>
      <c r="M132" t="s">
        <v>16</v>
      </c>
    </row>
    <row r="133" spans="7:13" x14ac:dyDescent="0.25">
      <c r="G133" t="s">
        <v>21</v>
      </c>
      <c r="H133">
        <v>16.149999999999999</v>
      </c>
      <c r="I133" t="s">
        <v>18</v>
      </c>
      <c r="J133" s="2">
        <v>45709</v>
      </c>
      <c r="K133" t="s">
        <v>1</v>
      </c>
      <c r="L133" t="s">
        <v>0</v>
      </c>
      <c r="M133" t="s">
        <v>16</v>
      </c>
    </row>
    <row r="134" spans="7:13" x14ac:dyDescent="0.25">
      <c r="G134" t="s">
        <v>21</v>
      </c>
      <c r="H134">
        <v>34.89</v>
      </c>
      <c r="I134" t="s">
        <v>18</v>
      </c>
      <c r="J134" s="2">
        <v>45707</v>
      </c>
      <c r="K134" t="s">
        <v>1</v>
      </c>
      <c r="L134" t="s">
        <v>0</v>
      </c>
      <c r="M134" t="s">
        <v>16</v>
      </c>
    </row>
    <row r="135" spans="7:13" x14ac:dyDescent="0.25">
      <c r="G135" t="s">
        <v>21</v>
      </c>
      <c r="H135">
        <v>18.079999999999998</v>
      </c>
      <c r="I135" t="s">
        <v>18</v>
      </c>
      <c r="J135" s="2">
        <v>45719</v>
      </c>
      <c r="K135" t="s">
        <v>1</v>
      </c>
      <c r="L135" t="s">
        <v>0</v>
      </c>
      <c r="M135" t="s">
        <v>16</v>
      </c>
    </row>
    <row r="136" spans="7:13" x14ac:dyDescent="0.25">
      <c r="G136" t="s">
        <v>21</v>
      </c>
      <c r="H136">
        <v>38.020000000000003</v>
      </c>
      <c r="I136" t="s">
        <v>18</v>
      </c>
      <c r="J136" s="2">
        <v>45717</v>
      </c>
      <c r="K136" t="s">
        <v>1</v>
      </c>
      <c r="L136" t="s">
        <v>0</v>
      </c>
      <c r="M136" t="s">
        <v>16</v>
      </c>
    </row>
    <row r="137" spans="7:13" x14ac:dyDescent="0.25">
      <c r="G137" t="s">
        <v>21</v>
      </c>
      <c r="H137">
        <v>18.87</v>
      </c>
      <c r="I137" t="s">
        <v>18</v>
      </c>
      <c r="J137" s="2">
        <v>45721</v>
      </c>
      <c r="K137" t="s">
        <v>1</v>
      </c>
      <c r="L137" t="s">
        <v>0</v>
      </c>
      <c r="M137" t="s">
        <v>16</v>
      </c>
    </row>
    <row r="138" spans="7:13" x14ac:dyDescent="0.25">
      <c r="G138" t="s">
        <v>64</v>
      </c>
      <c r="H138">
        <v>21.5</v>
      </c>
      <c r="I138" t="s">
        <v>18</v>
      </c>
      <c r="J138" s="2">
        <v>45722</v>
      </c>
      <c r="K138" t="s">
        <v>1</v>
      </c>
      <c r="L138" t="s">
        <v>0</v>
      </c>
      <c r="M138" t="s">
        <v>16</v>
      </c>
    </row>
    <row r="139" spans="7:13" x14ac:dyDescent="0.25">
      <c r="G139" t="s">
        <v>21</v>
      </c>
      <c r="H139">
        <v>13.71</v>
      </c>
      <c r="I139" t="s">
        <v>18</v>
      </c>
      <c r="J139" s="2">
        <v>45723</v>
      </c>
      <c r="K139" t="s">
        <v>1</v>
      </c>
      <c r="L139" t="s">
        <v>27</v>
      </c>
      <c r="M139" t="s">
        <v>16</v>
      </c>
    </row>
    <row r="140" spans="7:13" x14ac:dyDescent="0.25">
      <c r="G140" t="s">
        <v>21</v>
      </c>
      <c r="H140">
        <v>24.87</v>
      </c>
      <c r="I140" t="s">
        <v>18</v>
      </c>
      <c r="J140" s="2">
        <v>45724</v>
      </c>
      <c r="K140" t="s">
        <v>1</v>
      </c>
      <c r="L140" t="s">
        <v>0</v>
      </c>
      <c r="M140" t="s">
        <v>16</v>
      </c>
    </row>
    <row r="141" spans="7:13" x14ac:dyDescent="0.25">
      <c r="G141" t="s">
        <v>22</v>
      </c>
      <c r="H141">
        <v>660</v>
      </c>
      <c r="I141" t="s">
        <v>18</v>
      </c>
      <c r="J141" s="2">
        <v>45724</v>
      </c>
      <c r="K141" t="s">
        <v>1</v>
      </c>
      <c r="L141" t="s">
        <v>27</v>
      </c>
      <c r="M141" t="s">
        <v>16</v>
      </c>
    </row>
    <row r="142" spans="7:13" x14ac:dyDescent="0.25">
      <c r="G142" t="s">
        <v>57</v>
      </c>
      <c r="H142">
        <v>20</v>
      </c>
      <c r="I142" t="s">
        <v>18</v>
      </c>
      <c r="J142" s="2">
        <v>45717</v>
      </c>
      <c r="K142" t="s">
        <v>1</v>
      </c>
      <c r="L142" t="s">
        <v>27</v>
      </c>
      <c r="M142" t="s">
        <v>16</v>
      </c>
    </row>
    <row r="143" spans="7:13" x14ac:dyDescent="0.25">
      <c r="G143" t="s">
        <v>110</v>
      </c>
      <c r="H143">
        <v>20</v>
      </c>
      <c r="I143" t="s">
        <v>18</v>
      </c>
      <c r="J143" s="2">
        <v>45717</v>
      </c>
      <c r="K143" t="s">
        <v>1</v>
      </c>
      <c r="L143" t="s">
        <v>27</v>
      </c>
      <c r="M143" t="s">
        <v>16</v>
      </c>
    </row>
    <row r="144" spans="7:13" x14ac:dyDescent="0.25">
      <c r="G144" t="s">
        <v>78</v>
      </c>
      <c r="H144">
        <v>10.7</v>
      </c>
      <c r="I144" t="s">
        <v>18</v>
      </c>
      <c r="J144" s="2">
        <v>45702</v>
      </c>
      <c r="K144" t="s">
        <v>1</v>
      </c>
      <c r="L144" t="s">
        <v>0</v>
      </c>
      <c r="M144" t="s">
        <v>16</v>
      </c>
    </row>
    <row r="145" spans="6:13" x14ac:dyDescent="0.25">
      <c r="G145" t="s">
        <v>111</v>
      </c>
      <c r="H145">
        <v>4.8</v>
      </c>
      <c r="I145" t="s">
        <v>18</v>
      </c>
      <c r="J145" s="2">
        <v>45711</v>
      </c>
      <c r="K145" t="s">
        <v>1</v>
      </c>
      <c r="L145" t="s">
        <v>0</v>
      </c>
      <c r="M145" t="s">
        <v>16</v>
      </c>
    </row>
    <row r="146" spans="6:13" x14ac:dyDescent="0.25">
      <c r="G146" t="s">
        <v>108</v>
      </c>
      <c r="H146">
        <v>6.8</v>
      </c>
      <c r="I146" t="s">
        <v>18</v>
      </c>
      <c r="J146" s="2">
        <v>45717</v>
      </c>
      <c r="K146" t="s">
        <v>1</v>
      </c>
      <c r="L146" t="s">
        <v>0</v>
      </c>
      <c r="M146" t="s">
        <v>16</v>
      </c>
    </row>
    <row r="147" spans="6:13" x14ac:dyDescent="0.25">
      <c r="F147" t="s">
        <v>113</v>
      </c>
      <c r="G147" t="s">
        <v>112</v>
      </c>
      <c r="H147">
        <v>168.19</v>
      </c>
      <c r="I147" t="s">
        <v>18</v>
      </c>
      <c r="J147" s="2">
        <v>45717</v>
      </c>
      <c r="K147" t="s">
        <v>1</v>
      </c>
      <c r="L147" t="s">
        <v>0</v>
      </c>
      <c r="M147" t="s">
        <v>16</v>
      </c>
    </row>
    <row r="148" spans="6:13" x14ac:dyDescent="0.25">
      <c r="F148" t="s">
        <v>113</v>
      </c>
      <c r="G148" t="s">
        <v>114</v>
      </c>
      <c r="H148">
        <v>112.4</v>
      </c>
      <c r="I148" t="s">
        <v>18</v>
      </c>
      <c r="J148" s="2">
        <v>45717</v>
      </c>
      <c r="K148" t="s">
        <v>1</v>
      </c>
      <c r="L148" t="s">
        <v>0</v>
      </c>
      <c r="M148" t="s">
        <v>16</v>
      </c>
    </row>
    <row r="149" spans="6:13" x14ac:dyDescent="0.25">
      <c r="F149" t="s">
        <v>113</v>
      </c>
      <c r="G149" t="s">
        <v>115</v>
      </c>
      <c r="H149">
        <v>12.6</v>
      </c>
      <c r="I149" t="s">
        <v>18</v>
      </c>
      <c r="J149" s="2">
        <v>45722</v>
      </c>
      <c r="K149" t="s">
        <v>1</v>
      </c>
      <c r="L149" t="s">
        <v>59</v>
      </c>
      <c r="M149" t="s">
        <v>16</v>
      </c>
    </row>
    <row r="150" spans="6:13" x14ac:dyDescent="0.25">
      <c r="F150" t="s">
        <v>113</v>
      </c>
      <c r="G150" t="s">
        <v>116</v>
      </c>
      <c r="H150">
        <v>180</v>
      </c>
      <c r="I150" t="s">
        <v>18</v>
      </c>
      <c r="J150" s="2">
        <v>45717</v>
      </c>
      <c r="K150" t="s">
        <v>1</v>
      </c>
      <c r="L150" t="s">
        <v>27</v>
      </c>
      <c r="M150" t="s">
        <v>16</v>
      </c>
    </row>
    <row r="151" spans="6:13" x14ac:dyDescent="0.25">
      <c r="F151" t="s">
        <v>113</v>
      </c>
      <c r="G151" t="s">
        <v>117</v>
      </c>
      <c r="H151">
        <v>76.3</v>
      </c>
      <c r="I151" t="s">
        <v>18</v>
      </c>
      <c r="J151" s="2">
        <v>45717</v>
      </c>
      <c r="K151" t="s">
        <v>1</v>
      </c>
      <c r="L151" t="s">
        <v>27</v>
      </c>
      <c r="M151" t="s">
        <v>16</v>
      </c>
    </row>
    <row r="152" spans="6:13" x14ac:dyDescent="0.25">
      <c r="F152" t="s">
        <v>113</v>
      </c>
      <c r="G152" t="s">
        <v>118</v>
      </c>
      <c r="H152">
        <v>80.180000000000007</v>
      </c>
      <c r="I152" t="s">
        <v>18</v>
      </c>
      <c r="J152" s="2">
        <v>45725</v>
      </c>
      <c r="K152" t="s">
        <v>1</v>
      </c>
      <c r="L152" t="s">
        <v>27</v>
      </c>
      <c r="M152" t="s">
        <v>16</v>
      </c>
    </row>
    <row r="153" spans="6:13" x14ac:dyDescent="0.25">
      <c r="F153" t="s">
        <v>113</v>
      </c>
      <c r="G153" t="s">
        <v>119</v>
      </c>
      <c r="H153">
        <v>29.47</v>
      </c>
      <c r="I153" t="s">
        <v>18</v>
      </c>
      <c r="J153" s="2">
        <v>45725</v>
      </c>
      <c r="K153" t="s">
        <v>1</v>
      </c>
      <c r="L153" t="s">
        <v>0</v>
      </c>
      <c r="M153" t="s">
        <v>16</v>
      </c>
    </row>
    <row r="154" spans="6:13" x14ac:dyDescent="0.25">
      <c r="F154" t="s">
        <v>113</v>
      </c>
      <c r="G154" t="s">
        <v>120</v>
      </c>
      <c r="H154">
        <v>166</v>
      </c>
      <c r="I154" t="s">
        <v>18</v>
      </c>
      <c r="J154" s="2">
        <v>45725</v>
      </c>
      <c r="K154" t="s">
        <v>1</v>
      </c>
      <c r="L154" t="s">
        <v>27</v>
      </c>
      <c r="M154" t="s">
        <v>16</v>
      </c>
    </row>
    <row r="155" spans="6:13" x14ac:dyDescent="0.25">
      <c r="F155" t="s">
        <v>113</v>
      </c>
      <c r="G155" t="s">
        <v>121</v>
      </c>
      <c r="H155">
        <v>65.5</v>
      </c>
      <c r="I155" t="s">
        <v>18</v>
      </c>
      <c r="J155" s="2">
        <v>45725</v>
      </c>
      <c r="K155" t="s">
        <v>1</v>
      </c>
      <c r="L155" t="s">
        <v>27</v>
      </c>
      <c r="M155" t="s">
        <v>16</v>
      </c>
    </row>
    <row r="156" spans="6:13" x14ac:dyDescent="0.25">
      <c r="F156" t="s">
        <v>113</v>
      </c>
      <c r="G156" t="s">
        <v>122</v>
      </c>
      <c r="H156">
        <v>45.8</v>
      </c>
      <c r="I156" t="s">
        <v>18</v>
      </c>
      <c r="J156" s="2">
        <v>45725</v>
      </c>
      <c r="K156" t="s">
        <v>1</v>
      </c>
      <c r="L156" t="s">
        <v>59</v>
      </c>
      <c r="M156" t="s">
        <v>16</v>
      </c>
    </row>
    <row r="157" spans="6:13" x14ac:dyDescent="0.25">
      <c r="F157" t="s">
        <v>113</v>
      </c>
      <c r="G157" t="s">
        <v>123</v>
      </c>
      <c r="H157">
        <v>151.19999999999999</v>
      </c>
      <c r="I157" t="s">
        <v>18</v>
      </c>
      <c r="J157" s="2">
        <v>45725</v>
      </c>
      <c r="K157" t="s">
        <v>1</v>
      </c>
      <c r="L157" t="s">
        <v>27</v>
      </c>
      <c r="M157" t="s">
        <v>16</v>
      </c>
    </row>
    <row r="158" spans="6:13" x14ac:dyDescent="0.25">
      <c r="F158" t="s">
        <v>113</v>
      </c>
      <c r="G158" t="s">
        <v>124</v>
      </c>
      <c r="H158">
        <v>87</v>
      </c>
      <c r="I158" t="s">
        <v>18</v>
      </c>
      <c r="J158" s="2">
        <v>45741</v>
      </c>
      <c r="K158" t="s">
        <v>1</v>
      </c>
      <c r="L158" t="s">
        <v>0</v>
      </c>
      <c r="M158" t="s">
        <v>16</v>
      </c>
    </row>
    <row r="159" spans="6:13" x14ac:dyDescent="0.25">
      <c r="F159" t="s">
        <v>113</v>
      </c>
      <c r="G159" t="s">
        <v>125</v>
      </c>
      <c r="H159">
        <v>37.72</v>
      </c>
      <c r="I159" t="s">
        <v>18</v>
      </c>
      <c r="J159" s="2">
        <v>45741</v>
      </c>
      <c r="K159" t="s">
        <v>1</v>
      </c>
      <c r="L159" t="s">
        <v>0</v>
      </c>
      <c r="M159" t="s">
        <v>16</v>
      </c>
    </row>
    <row r="160" spans="6:13" x14ac:dyDescent="0.25">
      <c r="F160" t="s">
        <v>113</v>
      </c>
      <c r="G160" t="s">
        <v>126</v>
      </c>
      <c r="H160">
        <v>148</v>
      </c>
      <c r="I160" t="s">
        <v>18</v>
      </c>
      <c r="J160" s="2">
        <v>45741</v>
      </c>
      <c r="K160" t="s">
        <v>1</v>
      </c>
      <c r="L160" t="s">
        <v>27</v>
      </c>
      <c r="M160" t="s">
        <v>16</v>
      </c>
    </row>
    <row r="161" spans="6:13" x14ac:dyDescent="0.25">
      <c r="F161" t="s">
        <v>113</v>
      </c>
      <c r="G161" t="s">
        <v>127</v>
      </c>
      <c r="H161">
        <v>25.24</v>
      </c>
      <c r="I161" t="s">
        <v>18</v>
      </c>
      <c r="J161" s="2">
        <v>45741</v>
      </c>
      <c r="K161" t="s">
        <v>1</v>
      </c>
      <c r="L161" t="s">
        <v>0</v>
      </c>
      <c r="M161" t="s">
        <v>16</v>
      </c>
    </row>
    <row r="162" spans="6:13" x14ac:dyDescent="0.25">
      <c r="F162" t="s">
        <v>113</v>
      </c>
      <c r="G162" t="s">
        <v>128</v>
      </c>
      <c r="H162">
        <v>109</v>
      </c>
      <c r="I162" t="s">
        <v>18</v>
      </c>
      <c r="J162" s="2">
        <v>45741</v>
      </c>
      <c r="K162" t="s">
        <v>1</v>
      </c>
      <c r="L162" t="s">
        <v>27</v>
      </c>
      <c r="M162" t="s">
        <v>16</v>
      </c>
    </row>
    <row r="163" spans="6:13" x14ac:dyDescent="0.25">
      <c r="G163" t="s">
        <v>129</v>
      </c>
      <c r="H163">
        <v>33</v>
      </c>
      <c r="I163" t="s">
        <v>18</v>
      </c>
      <c r="J163" s="2">
        <v>45726</v>
      </c>
      <c r="K163" t="s">
        <v>1</v>
      </c>
      <c r="L163" t="s">
        <v>27</v>
      </c>
      <c r="M163" t="s">
        <v>16</v>
      </c>
    </row>
    <row r="164" spans="6:13" x14ac:dyDescent="0.25">
      <c r="G164" t="s">
        <v>21</v>
      </c>
      <c r="H164">
        <v>12.74</v>
      </c>
      <c r="I164" t="s">
        <v>18</v>
      </c>
      <c r="J164" s="2">
        <v>45740</v>
      </c>
      <c r="K164" t="s">
        <v>1</v>
      </c>
      <c r="L164" t="s">
        <v>59</v>
      </c>
      <c r="M164" t="s">
        <v>16</v>
      </c>
    </row>
    <row r="165" spans="6:13" x14ac:dyDescent="0.25">
      <c r="G165" t="s">
        <v>21</v>
      </c>
      <c r="H165">
        <v>17.43</v>
      </c>
      <c r="I165" t="s">
        <v>18</v>
      </c>
      <c r="J165" s="2">
        <v>45737</v>
      </c>
      <c r="K165" t="s">
        <v>1</v>
      </c>
      <c r="L165" t="s">
        <v>0</v>
      </c>
      <c r="M165" t="s">
        <v>16</v>
      </c>
    </row>
    <row r="166" spans="6:13" x14ac:dyDescent="0.25">
      <c r="G166" t="s">
        <v>21</v>
      </c>
      <c r="H166">
        <v>15.5</v>
      </c>
      <c r="I166" t="s">
        <v>18</v>
      </c>
      <c r="J166" s="2">
        <v>45735</v>
      </c>
      <c r="K166" t="s">
        <v>1</v>
      </c>
      <c r="L166" t="s">
        <v>0</v>
      </c>
      <c r="M166" t="s">
        <v>16</v>
      </c>
    </row>
    <row r="167" spans="6:13" x14ac:dyDescent="0.25">
      <c r="G167" t="s">
        <v>21</v>
      </c>
      <c r="H167">
        <v>20.28</v>
      </c>
      <c r="I167" t="s">
        <v>18</v>
      </c>
      <c r="J167" s="2">
        <v>45736</v>
      </c>
      <c r="K167" t="s">
        <v>1</v>
      </c>
      <c r="L167" t="s">
        <v>27</v>
      </c>
      <c r="M167" t="s">
        <v>16</v>
      </c>
    </row>
    <row r="168" spans="6:13" x14ac:dyDescent="0.25">
      <c r="G168" t="s">
        <v>21</v>
      </c>
      <c r="H168">
        <v>15.04</v>
      </c>
      <c r="I168" t="s">
        <v>18</v>
      </c>
      <c r="J168" s="2">
        <v>45729</v>
      </c>
      <c r="K168" t="s">
        <v>1</v>
      </c>
      <c r="L168" t="s">
        <v>0</v>
      </c>
      <c r="M168" t="s">
        <v>16</v>
      </c>
    </row>
    <row r="169" spans="6:13" x14ac:dyDescent="0.25">
      <c r="G169" t="s">
        <v>21</v>
      </c>
      <c r="H169">
        <v>25.28</v>
      </c>
      <c r="I169" t="s">
        <v>18</v>
      </c>
      <c r="J169" s="2">
        <v>45733</v>
      </c>
      <c r="K169" t="s">
        <v>1</v>
      </c>
      <c r="L169" t="s">
        <v>0</v>
      </c>
      <c r="M169" t="s">
        <v>16</v>
      </c>
    </row>
    <row r="170" spans="6:13" x14ac:dyDescent="0.25">
      <c r="G170" t="s">
        <v>21</v>
      </c>
      <c r="H170">
        <v>4.68</v>
      </c>
      <c r="I170" t="s">
        <v>18</v>
      </c>
      <c r="J170" s="2">
        <v>45731</v>
      </c>
      <c r="K170" t="s">
        <v>1</v>
      </c>
      <c r="L170" t="s">
        <v>0</v>
      </c>
      <c r="M170" t="s">
        <v>16</v>
      </c>
    </row>
    <row r="171" spans="6:13" x14ac:dyDescent="0.25">
      <c r="G171" t="s">
        <v>21</v>
      </c>
      <c r="H171">
        <v>8.51</v>
      </c>
      <c r="I171" t="s">
        <v>18</v>
      </c>
      <c r="J171" s="2">
        <v>45726</v>
      </c>
      <c r="K171" t="s">
        <v>1</v>
      </c>
      <c r="L171" t="s">
        <v>0</v>
      </c>
      <c r="M171" t="s">
        <v>16</v>
      </c>
    </row>
    <row r="172" spans="6:13" x14ac:dyDescent="0.25">
      <c r="G172" t="s">
        <v>21</v>
      </c>
      <c r="H172">
        <v>23.32</v>
      </c>
      <c r="I172" t="s">
        <v>18</v>
      </c>
      <c r="J172" s="2">
        <v>45730</v>
      </c>
      <c r="K172" t="s">
        <v>1</v>
      </c>
      <c r="L172" t="s">
        <v>0</v>
      </c>
      <c r="M172" t="s">
        <v>16</v>
      </c>
    </row>
    <row r="173" spans="6:13" x14ac:dyDescent="0.25">
      <c r="G173" t="s">
        <v>21</v>
      </c>
      <c r="H173">
        <v>26.15</v>
      </c>
      <c r="I173" t="s">
        <v>18</v>
      </c>
      <c r="J173" s="2">
        <v>45738</v>
      </c>
      <c r="K173" t="s">
        <v>1</v>
      </c>
      <c r="L173" t="s">
        <v>0</v>
      </c>
      <c r="M173" t="s">
        <v>16</v>
      </c>
    </row>
    <row r="174" spans="6:13" x14ac:dyDescent="0.25">
      <c r="G174" t="s">
        <v>130</v>
      </c>
      <c r="H174">
        <v>5.6</v>
      </c>
      <c r="I174" t="s">
        <v>18</v>
      </c>
      <c r="J174" s="2">
        <v>45732</v>
      </c>
      <c r="K174" t="s">
        <v>1</v>
      </c>
      <c r="L174" t="s">
        <v>0</v>
      </c>
      <c r="M174" t="s">
        <v>16</v>
      </c>
    </row>
    <row r="175" spans="6:13" x14ac:dyDescent="0.25">
      <c r="G175" t="s">
        <v>261</v>
      </c>
      <c r="H175">
        <v>25</v>
      </c>
      <c r="I175" t="s">
        <v>18</v>
      </c>
      <c r="J175" s="2">
        <v>45732</v>
      </c>
      <c r="K175" t="s">
        <v>1</v>
      </c>
      <c r="L175" t="s">
        <v>0</v>
      </c>
      <c r="M175" t="s">
        <v>16</v>
      </c>
    </row>
    <row r="176" spans="6:13" x14ac:dyDescent="0.25">
      <c r="G176" t="s">
        <v>131</v>
      </c>
      <c r="H176">
        <v>12</v>
      </c>
      <c r="I176" t="s">
        <v>18</v>
      </c>
      <c r="J176" s="2">
        <v>45731</v>
      </c>
      <c r="K176" t="s">
        <v>1</v>
      </c>
      <c r="L176" t="s">
        <v>0</v>
      </c>
      <c r="M176" t="s">
        <v>16</v>
      </c>
    </row>
    <row r="177" spans="6:13" x14ac:dyDescent="0.25">
      <c r="G177" t="s">
        <v>21</v>
      </c>
      <c r="H177">
        <v>6.9</v>
      </c>
      <c r="I177" t="s">
        <v>18</v>
      </c>
      <c r="J177" s="2">
        <v>45728</v>
      </c>
      <c r="K177" t="s">
        <v>1</v>
      </c>
      <c r="L177" t="s">
        <v>0</v>
      </c>
      <c r="M177" t="s">
        <v>16</v>
      </c>
    </row>
    <row r="178" spans="6:13" x14ac:dyDescent="0.25">
      <c r="G178" t="s">
        <v>21</v>
      </c>
      <c r="H178">
        <v>3.85</v>
      </c>
      <c r="I178" t="s">
        <v>18</v>
      </c>
      <c r="J178" s="2">
        <v>45740</v>
      </c>
      <c r="K178" t="s">
        <v>1</v>
      </c>
      <c r="L178" t="s">
        <v>0</v>
      </c>
      <c r="M178" t="s">
        <v>16</v>
      </c>
    </row>
    <row r="179" spans="6:13" x14ac:dyDescent="0.25">
      <c r="G179" t="s">
        <v>21</v>
      </c>
      <c r="H179">
        <v>12.71</v>
      </c>
      <c r="I179" t="s">
        <v>18</v>
      </c>
      <c r="J179" s="2">
        <v>45744</v>
      </c>
      <c r="K179" t="s">
        <v>1</v>
      </c>
      <c r="L179" t="s">
        <v>0</v>
      </c>
      <c r="M179" t="s">
        <v>16</v>
      </c>
    </row>
    <row r="180" spans="6:13" x14ac:dyDescent="0.25">
      <c r="G180" t="s">
        <v>45</v>
      </c>
      <c r="H180">
        <v>32.700000000000003</v>
      </c>
      <c r="I180" t="s">
        <v>18</v>
      </c>
      <c r="J180" s="2">
        <v>45745</v>
      </c>
      <c r="K180" t="s">
        <v>1</v>
      </c>
      <c r="L180" t="s">
        <v>59</v>
      </c>
      <c r="M180" t="s">
        <v>16</v>
      </c>
    </row>
    <row r="181" spans="6:13" x14ac:dyDescent="0.25">
      <c r="G181" t="s">
        <v>21</v>
      </c>
      <c r="H181">
        <v>27.84</v>
      </c>
      <c r="I181" t="s">
        <v>18</v>
      </c>
      <c r="J181" s="2">
        <v>45745</v>
      </c>
      <c r="K181" t="s">
        <v>1</v>
      </c>
      <c r="L181" t="s">
        <v>27</v>
      </c>
      <c r="M181" t="s">
        <v>16</v>
      </c>
    </row>
    <row r="182" spans="6:13" x14ac:dyDescent="0.25">
      <c r="G182" t="s">
        <v>21</v>
      </c>
      <c r="H182">
        <v>5.08</v>
      </c>
      <c r="I182" t="s">
        <v>18</v>
      </c>
      <c r="J182" s="2">
        <v>45747</v>
      </c>
      <c r="K182" t="s">
        <v>1</v>
      </c>
      <c r="L182" t="s">
        <v>0</v>
      </c>
      <c r="M182" t="s">
        <v>16</v>
      </c>
    </row>
    <row r="183" spans="6:13" x14ac:dyDescent="0.25">
      <c r="G183" t="s">
        <v>21</v>
      </c>
      <c r="H183">
        <v>10.4</v>
      </c>
      <c r="I183" t="s">
        <v>18</v>
      </c>
      <c r="J183" s="2">
        <v>45743</v>
      </c>
      <c r="K183" t="s">
        <v>1</v>
      </c>
      <c r="L183" t="s">
        <v>59</v>
      </c>
      <c r="M183" t="s">
        <v>16</v>
      </c>
    </row>
    <row r="184" spans="6:13" x14ac:dyDescent="0.25">
      <c r="G184" t="s">
        <v>21</v>
      </c>
      <c r="H184">
        <v>12.61</v>
      </c>
      <c r="I184" t="s">
        <v>18</v>
      </c>
      <c r="J184" s="2">
        <v>45750</v>
      </c>
      <c r="K184" t="s">
        <v>1</v>
      </c>
      <c r="L184" t="s">
        <v>0</v>
      </c>
      <c r="M184" t="s">
        <v>16</v>
      </c>
    </row>
    <row r="185" spans="6:13" x14ac:dyDescent="0.25">
      <c r="G185" t="s">
        <v>21</v>
      </c>
      <c r="H185">
        <v>14.11</v>
      </c>
      <c r="I185" t="s">
        <v>18</v>
      </c>
      <c r="J185" s="2">
        <v>45748</v>
      </c>
      <c r="K185" t="s">
        <v>1</v>
      </c>
      <c r="L185" t="s">
        <v>0</v>
      </c>
      <c r="M185" t="s">
        <v>16</v>
      </c>
    </row>
    <row r="186" spans="6:13" x14ac:dyDescent="0.25">
      <c r="G186" t="s">
        <v>21</v>
      </c>
      <c r="H186">
        <v>6.3</v>
      </c>
      <c r="I186" t="s">
        <v>18</v>
      </c>
      <c r="J186" s="2">
        <v>45742</v>
      </c>
      <c r="K186" t="s">
        <v>1</v>
      </c>
      <c r="L186" t="s">
        <v>0</v>
      </c>
      <c r="M186" t="s">
        <v>16</v>
      </c>
    </row>
    <row r="187" spans="6:13" x14ac:dyDescent="0.25">
      <c r="G187" t="s">
        <v>21</v>
      </c>
      <c r="H187">
        <v>17.350000000000001</v>
      </c>
      <c r="I187" t="s">
        <v>18</v>
      </c>
      <c r="J187" s="2">
        <v>45740</v>
      </c>
      <c r="K187" t="s">
        <v>1</v>
      </c>
      <c r="L187" t="s">
        <v>0</v>
      </c>
      <c r="M187" t="s">
        <v>16</v>
      </c>
    </row>
    <row r="188" spans="6:13" x14ac:dyDescent="0.25">
      <c r="G188" t="s">
        <v>21</v>
      </c>
      <c r="H188">
        <v>12.45</v>
      </c>
      <c r="I188" t="s">
        <v>18</v>
      </c>
      <c r="J188" s="2">
        <v>45724</v>
      </c>
      <c r="K188" t="s">
        <v>1</v>
      </c>
      <c r="L188" t="s">
        <v>0</v>
      </c>
      <c r="M188" t="s">
        <v>16</v>
      </c>
    </row>
    <row r="189" spans="6:13" x14ac:dyDescent="0.25">
      <c r="G189" t="s">
        <v>87</v>
      </c>
      <c r="H189">
        <v>40</v>
      </c>
      <c r="I189" t="s">
        <v>18</v>
      </c>
      <c r="J189" s="2">
        <v>45748</v>
      </c>
      <c r="K189" t="s">
        <v>1</v>
      </c>
      <c r="L189" t="s">
        <v>27</v>
      </c>
      <c r="M189" t="s">
        <v>16</v>
      </c>
    </row>
    <row r="190" spans="6:13" x14ac:dyDescent="0.25">
      <c r="F190" t="s">
        <v>113</v>
      </c>
      <c r="G190" t="s">
        <v>132</v>
      </c>
      <c r="H190">
        <v>67.98</v>
      </c>
      <c r="I190" t="s">
        <v>18</v>
      </c>
      <c r="J190" s="2">
        <v>45744</v>
      </c>
      <c r="K190" t="s">
        <v>1</v>
      </c>
      <c r="L190" t="s">
        <v>27</v>
      </c>
      <c r="M190" t="s">
        <v>16</v>
      </c>
    </row>
    <row r="191" spans="6:13" x14ac:dyDescent="0.25">
      <c r="F191" t="s">
        <v>113</v>
      </c>
      <c r="G191" t="s">
        <v>133</v>
      </c>
      <c r="H191">
        <v>190</v>
      </c>
      <c r="I191" t="s">
        <v>18</v>
      </c>
      <c r="J191" s="2">
        <v>45739</v>
      </c>
      <c r="K191" t="s">
        <v>1</v>
      </c>
      <c r="L191" t="s">
        <v>27</v>
      </c>
      <c r="M191" t="s">
        <v>16</v>
      </c>
    </row>
    <row r="192" spans="6:13" x14ac:dyDescent="0.25">
      <c r="F192" t="s">
        <v>113</v>
      </c>
      <c r="G192" t="s">
        <v>134</v>
      </c>
      <c r="H192">
        <v>48.11</v>
      </c>
      <c r="I192" t="s">
        <v>18</v>
      </c>
      <c r="J192" s="2">
        <v>45739</v>
      </c>
      <c r="K192" t="s">
        <v>1</v>
      </c>
      <c r="L192" t="s">
        <v>27</v>
      </c>
      <c r="M192" t="s">
        <v>16</v>
      </c>
    </row>
    <row r="193" spans="6:15" x14ac:dyDescent="0.25">
      <c r="F193" t="s">
        <v>113</v>
      </c>
      <c r="G193" t="s">
        <v>135</v>
      </c>
      <c r="H193">
        <v>161.72</v>
      </c>
      <c r="I193" t="s">
        <v>18</v>
      </c>
      <c r="J193" s="2">
        <v>45742</v>
      </c>
      <c r="K193" t="s">
        <v>1</v>
      </c>
      <c r="L193" t="s">
        <v>0</v>
      </c>
      <c r="M193" t="s">
        <v>16</v>
      </c>
    </row>
    <row r="194" spans="6:15" x14ac:dyDescent="0.25">
      <c r="F194" t="s">
        <v>113</v>
      </c>
      <c r="G194" t="s">
        <v>136</v>
      </c>
      <c r="H194">
        <v>114.97</v>
      </c>
      <c r="I194" t="s">
        <v>18</v>
      </c>
      <c r="J194" s="2">
        <v>45742</v>
      </c>
      <c r="K194" t="s">
        <v>1</v>
      </c>
      <c r="L194" t="s">
        <v>0</v>
      </c>
      <c r="M194" t="s">
        <v>16</v>
      </c>
    </row>
    <row r="195" spans="6:15" x14ac:dyDescent="0.25">
      <c r="G195" t="s">
        <v>137</v>
      </c>
      <c r="H195">
        <v>10.8</v>
      </c>
      <c r="I195" t="s">
        <v>18</v>
      </c>
      <c r="J195" s="2">
        <v>45741</v>
      </c>
      <c r="K195" t="s">
        <v>1</v>
      </c>
      <c r="L195" t="s">
        <v>0</v>
      </c>
      <c r="M195" t="s">
        <v>16</v>
      </c>
    </row>
    <row r="196" spans="6:15" x14ac:dyDescent="0.25">
      <c r="G196" t="s">
        <v>78</v>
      </c>
      <c r="H196">
        <v>11.2</v>
      </c>
      <c r="I196" t="s">
        <v>18</v>
      </c>
      <c r="J196" s="2">
        <v>45744</v>
      </c>
      <c r="K196" t="s">
        <v>1</v>
      </c>
      <c r="L196" t="s">
        <v>0</v>
      </c>
      <c r="M196" t="s">
        <v>16</v>
      </c>
    </row>
    <row r="197" spans="6:15" x14ac:dyDescent="0.25">
      <c r="G197" t="s">
        <v>138</v>
      </c>
      <c r="H197">
        <v>49</v>
      </c>
      <c r="I197" t="s">
        <v>18</v>
      </c>
      <c r="J197" s="2">
        <v>45745</v>
      </c>
      <c r="K197" t="s">
        <v>1</v>
      </c>
      <c r="L197" t="s">
        <v>0</v>
      </c>
      <c r="M197" t="s">
        <v>16</v>
      </c>
    </row>
    <row r="198" spans="6:15" x14ac:dyDescent="0.25">
      <c r="G198" t="s">
        <v>138</v>
      </c>
      <c r="H198">
        <v>43</v>
      </c>
      <c r="I198" t="s">
        <v>18</v>
      </c>
      <c r="J198" s="2">
        <v>45745</v>
      </c>
      <c r="K198" t="s">
        <v>1</v>
      </c>
      <c r="L198" t="s">
        <v>0</v>
      </c>
      <c r="M198" t="s">
        <v>16</v>
      </c>
    </row>
    <row r="199" spans="6:15" x14ac:dyDescent="0.25">
      <c r="G199" t="s">
        <v>64</v>
      </c>
      <c r="H199">
        <v>18.100000000000001</v>
      </c>
      <c r="I199" t="s">
        <v>18</v>
      </c>
      <c r="J199" s="2">
        <v>45749</v>
      </c>
      <c r="K199" t="s">
        <v>1</v>
      </c>
      <c r="L199" t="s">
        <v>0</v>
      </c>
      <c r="M199" t="s">
        <v>16</v>
      </c>
    </row>
    <row r="200" spans="6:15" x14ac:dyDescent="0.25">
      <c r="F200" t="s">
        <v>113</v>
      </c>
      <c r="G200" t="s">
        <v>139</v>
      </c>
      <c r="H200">
        <v>44</v>
      </c>
      <c r="I200" t="s">
        <v>18</v>
      </c>
      <c r="J200" s="2">
        <v>45751</v>
      </c>
      <c r="K200" t="s">
        <v>1</v>
      </c>
      <c r="L200" t="s">
        <v>0</v>
      </c>
      <c r="M200" t="s">
        <v>16</v>
      </c>
    </row>
    <row r="201" spans="6:15" x14ac:dyDescent="0.25">
      <c r="F201" t="s">
        <v>113</v>
      </c>
      <c r="G201" t="s">
        <v>140</v>
      </c>
      <c r="H201">
        <v>59.6</v>
      </c>
      <c r="I201" t="s">
        <v>18</v>
      </c>
      <c r="J201" s="2">
        <v>45752</v>
      </c>
      <c r="K201" t="s">
        <v>1</v>
      </c>
      <c r="L201" t="s">
        <v>27</v>
      </c>
      <c r="M201" t="s">
        <v>16</v>
      </c>
    </row>
    <row r="202" spans="6:15" x14ac:dyDescent="0.25">
      <c r="F202" t="s">
        <v>113</v>
      </c>
      <c r="G202" t="s">
        <v>141</v>
      </c>
      <c r="H202">
        <v>26.6</v>
      </c>
      <c r="I202" t="s">
        <v>18</v>
      </c>
      <c r="J202" s="2">
        <v>45757</v>
      </c>
      <c r="K202" t="s">
        <v>1</v>
      </c>
      <c r="L202" t="s">
        <v>1</v>
      </c>
      <c r="M202" t="s">
        <v>16</v>
      </c>
      <c r="N202" t="s">
        <v>142</v>
      </c>
      <c r="O202" t="s">
        <v>143</v>
      </c>
    </row>
    <row r="203" spans="6:15" x14ac:dyDescent="0.25">
      <c r="F203" t="s">
        <v>113</v>
      </c>
      <c r="G203" t="s">
        <v>144</v>
      </c>
      <c r="H203">
        <v>7</v>
      </c>
      <c r="I203" t="s">
        <v>18</v>
      </c>
      <c r="J203" s="2">
        <v>45753</v>
      </c>
      <c r="K203" t="s">
        <v>1</v>
      </c>
      <c r="L203" t="s">
        <v>27</v>
      </c>
      <c r="M203" t="s">
        <v>16</v>
      </c>
    </row>
    <row r="204" spans="6:15" x14ac:dyDescent="0.25">
      <c r="F204" t="s">
        <v>113</v>
      </c>
      <c r="G204" t="s">
        <v>145</v>
      </c>
      <c r="H204">
        <v>13</v>
      </c>
      <c r="I204" t="s">
        <v>18</v>
      </c>
      <c r="J204" s="2">
        <v>45753</v>
      </c>
      <c r="K204" t="s">
        <v>1</v>
      </c>
      <c r="L204" t="s">
        <v>0</v>
      </c>
      <c r="M204" t="s">
        <v>16</v>
      </c>
    </row>
    <row r="205" spans="6:15" x14ac:dyDescent="0.25">
      <c r="F205" t="s">
        <v>113</v>
      </c>
      <c r="G205" t="s">
        <v>148</v>
      </c>
      <c r="H205">
        <v>9</v>
      </c>
      <c r="I205" t="s">
        <v>18</v>
      </c>
      <c r="J205" s="2">
        <v>45753</v>
      </c>
      <c r="K205" t="s">
        <v>1</v>
      </c>
      <c r="L205" t="s">
        <v>0</v>
      </c>
      <c r="M205" t="s">
        <v>16</v>
      </c>
    </row>
    <row r="206" spans="6:15" x14ac:dyDescent="0.25">
      <c r="F206" t="s">
        <v>113</v>
      </c>
      <c r="G206" t="s">
        <v>146</v>
      </c>
      <c r="H206">
        <v>16</v>
      </c>
      <c r="I206" t="s">
        <v>18</v>
      </c>
      <c r="J206" s="2">
        <v>45753</v>
      </c>
      <c r="K206" t="s">
        <v>1</v>
      </c>
      <c r="L206" t="s">
        <v>0</v>
      </c>
      <c r="M206" t="s">
        <v>16</v>
      </c>
    </row>
    <row r="207" spans="6:15" x14ac:dyDescent="0.25">
      <c r="F207" t="s">
        <v>113</v>
      </c>
      <c r="G207" t="s">
        <v>148</v>
      </c>
      <c r="H207">
        <v>11.4</v>
      </c>
      <c r="I207" t="s">
        <v>18</v>
      </c>
      <c r="J207" s="2">
        <v>45753</v>
      </c>
      <c r="K207" t="s">
        <v>1</v>
      </c>
      <c r="L207" t="s">
        <v>0</v>
      </c>
      <c r="M207" t="s">
        <v>16</v>
      </c>
    </row>
    <row r="208" spans="6:15" x14ac:dyDescent="0.25">
      <c r="F208" t="s">
        <v>113</v>
      </c>
      <c r="G208" t="s">
        <v>149</v>
      </c>
      <c r="H208">
        <v>26</v>
      </c>
      <c r="I208" t="s">
        <v>18</v>
      </c>
      <c r="J208" s="2">
        <v>45754</v>
      </c>
      <c r="K208" t="s">
        <v>1</v>
      </c>
      <c r="L208" t="s">
        <v>0</v>
      </c>
      <c r="M208" t="s">
        <v>16</v>
      </c>
    </row>
    <row r="209" spans="6:13" x14ac:dyDescent="0.25">
      <c r="F209" t="s">
        <v>113</v>
      </c>
      <c r="G209" t="s">
        <v>150</v>
      </c>
      <c r="H209">
        <v>16</v>
      </c>
      <c r="I209" t="s">
        <v>18</v>
      </c>
      <c r="J209" s="2">
        <v>45754</v>
      </c>
      <c r="K209" t="s">
        <v>1</v>
      </c>
      <c r="L209" t="s">
        <v>0</v>
      </c>
      <c r="M209" t="s">
        <v>16</v>
      </c>
    </row>
    <row r="210" spans="6:13" x14ac:dyDescent="0.25">
      <c r="F210" t="s">
        <v>113</v>
      </c>
      <c r="G210" t="s">
        <v>147</v>
      </c>
      <c r="H210">
        <v>6.32</v>
      </c>
      <c r="I210" t="s">
        <v>18</v>
      </c>
      <c r="J210" s="2">
        <v>45754</v>
      </c>
      <c r="K210" t="s">
        <v>1</v>
      </c>
      <c r="L210" t="s">
        <v>0</v>
      </c>
      <c r="M210" t="s">
        <v>16</v>
      </c>
    </row>
    <row r="211" spans="6:13" x14ac:dyDescent="0.25">
      <c r="F211" t="s">
        <v>113</v>
      </c>
      <c r="G211" t="s">
        <v>151</v>
      </c>
      <c r="H211">
        <v>15</v>
      </c>
      <c r="I211" t="s">
        <v>18</v>
      </c>
      <c r="J211" s="2">
        <v>45755</v>
      </c>
      <c r="K211" t="s">
        <v>1</v>
      </c>
      <c r="L211" t="s">
        <v>0</v>
      </c>
      <c r="M211" t="s">
        <v>16</v>
      </c>
    </row>
    <row r="212" spans="6:13" x14ac:dyDescent="0.25">
      <c r="F212" t="s">
        <v>113</v>
      </c>
      <c r="G212" t="s">
        <v>158</v>
      </c>
      <c r="H212">
        <v>4.4000000000000004</v>
      </c>
      <c r="I212" t="s">
        <v>18</v>
      </c>
      <c r="J212" s="2">
        <v>45755</v>
      </c>
      <c r="K212" t="s">
        <v>1</v>
      </c>
      <c r="L212" t="s">
        <v>0</v>
      </c>
      <c r="M212" t="s">
        <v>16</v>
      </c>
    </row>
    <row r="213" spans="6:13" x14ac:dyDescent="0.25">
      <c r="F213" t="s">
        <v>113</v>
      </c>
      <c r="G213" t="s">
        <v>152</v>
      </c>
      <c r="H213">
        <v>12.92</v>
      </c>
      <c r="I213" t="s">
        <v>18</v>
      </c>
      <c r="J213" s="2">
        <v>45755</v>
      </c>
      <c r="K213" t="s">
        <v>1</v>
      </c>
      <c r="L213" t="s">
        <v>0</v>
      </c>
      <c r="M213" t="s">
        <v>16</v>
      </c>
    </row>
    <row r="214" spans="6:13" x14ac:dyDescent="0.25">
      <c r="F214" t="s">
        <v>113</v>
      </c>
      <c r="G214" t="s">
        <v>153</v>
      </c>
      <c r="H214">
        <v>20</v>
      </c>
      <c r="I214" t="s">
        <v>18</v>
      </c>
      <c r="J214" s="2">
        <v>45756</v>
      </c>
      <c r="K214" t="s">
        <v>1</v>
      </c>
      <c r="L214" t="s">
        <v>0</v>
      </c>
      <c r="M214" t="s">
        <v>16</v>
      </c>
    </row>
    <row r="215" spans="6:13" x14ac:dyDescent="0.25">
      <c r="F215" t="s">
        <v>113</v>
      </c>
      <c r="G215" t="s">
        <v>154</v>
      </c>
      <c r="H215">
        <v>8</v>
      </c>
      <c r="I215" t="s">
        <v>18</v>
      </c>
      <c r="J215" s="2">
        <v>45752</v>
      </c>
      <c r="K215" t="s">
        <v>1</v>
      </c>
      <c r="L215" t="s">
        <v>27</v>
      </c>
      <c r="M215" t="s">
        <v>16</v>
      </c>
    </row>
    <row r="216" spans="6:13" x14ac:dyDescent="0.25">
      <c r="F216" t="s">
        <v>113</v>
      </c>
      <c r="G216" t="s">
        <v>155</v>
      </c>
      <c r="H216">
        <v>20</v>
      </c>
      <c r="I216" t="s">
        <v>18</v>
      </c>
      <c r="J216" s="2">
        <v>45756</v>
      </c>
      <c r="K216" t="s">
        <v>1</v>
      </c>
      <c r="L216" t="s">
        <v>27</v>
      </c>
      <c r="M216" t="s">
        <v>16</v>
      </c>
    </row>
    <row r="217" spans="6:13" x14ac:dyDescent="0.25">
      <c r="F217" t="s">
        <v>113</v>
      </c>
      <c r="G217" t="s">
        <v>156</v>
      </c>
      <c r="H217">
        <v>3</v>
      </c>
      <c r="I217" t="s">
        <v>18</v>
      </c>
      <c r="J217" s="2">
        <v>45755</v>
      </c>
      <c r="K217" t="s">
        <v>1</v>
      </c>
      <c r="L217" t="s">
        <v>1</v>
      </c>
      <c r="M217" t="s">
        <v>16</v>
      </c>
    </row>
    <row r="218" spans="6:13" x14ac:dyDescent="0.25">
      <c r="F218" t="s">
        <v>113</v>
      </c>
      <c r="G218" t="s">
        <v>158</v>
      </c>
      <c r="H218">
        <v>4.4000000000000004</v>
      </c>
      <c r="I218" t="s">
        <v>18</v>
      </c>
      <c r="J218" s="2">
        <v>45756</v>
      </c>
      <c r="K218" t="s">
        <v>1</v>
      </c>
      <c r="L218" t="s">
        <v>0</v>
      </c>
      <c r="M218" t="s">
        <v>16</v>
      </c>
    </row>
    <row r="219" spans="6:13" x14ac:dyDescent="0.25">
      <c r="F219" t="s">
        <v>113</v>
      </c>
      <c r="G219" t="s">
        <v>157</v>
      </c>
      <c r="H219">
        <v>24.23</v>
      </c>
      <c r="I219" t="s">
        <v>18</v>
      </c>
      <c r="J219" s="2">
        <v>45756</v>
      </c>
      <c r="K219" t="s">
        <v>1</v>
      </c>
      <c r="L219" t="s">
        <v>0</v>
      </c>
      <c r="M219" t="s">
        <v>16</v>
      </c>
    </row>
    <row r="220" spans="6:13" x14ac:dyDescent="0.25">
      <c r="F220" t="s">
        <v>113</v>
      </c>
      <c r="G220" t="s">
        <v>158</v>
      </c>
      <c r="H220">
        <v>4.4000000000000004</v>
      </c>
      <c r="I220" t="s">
        <v>18</v>
      </c>
      <c r="J220" s="2">
        <v>45756</v>
      </c>
      <c r="K220" t="s">
        <v>1</v>
      </c>
      <c r="L220" t="s">
        <v>0</v>
      </c>
      <c r="M220" t="s">
        <v>16</v>
      </c>
    </row>
    <row r="221" spans="6:13" x14ac:dyDescent="0.25">
      <c r="F221" t="s">
        <v>113</v>
      </c>
      <c r="G221" t="s">
        <v>159</v>
      </c>
      <c r="H221">
        <v>5.19</v>
      </c>
      <c r="I221" t="s">
        <v>18</v>
      </c>
      <c r="J221" s="2">
        <v>45756</v>
      </c>
      <c r="K221" t="s">
        <v>1</v>
      </c>
      <c r="L221" t="s">
        <v>0</v>
      </c>
      <c r="M221" t="s">
        <v>16</v>
      </c>
    </row>
    <row r="222" spans="6:13" x14ac:dyDescent="0.25">
      <c r="F222" t="s">
        <v>113</v>
      </c>
      <c r="G222" t="s">
        <v>161</v>
      </c>
      <c r="H222">
        <v>4.4000000000000004</v>
      </c>
      <c r="I222" t="s">
        <v>18</v>
      </c>
      <c r="J222" s="2">
        <v>45757</v>
      </c>
      <c r="K222" t="s">
        <v>1</v>
      </c>
      <c r="L222" t="s">
        <v>0</v>
      </c>
      <c r="M222" t="s">
        <v>16</v>
      </c>
    </row>
    <row r="223" spans="6:13" x14ac:dyDescent="0.25">
      <c r="F223" t="s">
        <v>113</v>
      </c>
      <c r="G223" t="s">
        <v>160</v>
      </c>
      <c r="H223">
        <v>8.8000000000000007</v>
      </c>
      <c r="I223" t="s">
        <v>18</v>
      </c>
      <c r="J223" s="2">
        <v>45757</v>
      </c>
      <c r="K223" t="s">
        <v>1</v>
      </c>
      <c r="L223" t="s">
        <v>0</v>
      </c>
      <c r="M223" t="s">
        <v>16</v>
      </c>
    </row>
    <row r="224" spans="6:13" x14ac:dyDescent="0.25">
      <c r="F224" t="s">
        <v>113</v>
      </c>
      <c r="G224" t="s">
        <v>162</v>
      </c>
      <c r="H224">
        <v>16.850000000000001</v>
      </c>
      <c r="I224" t="s">
        <v>18</v>
      </c>
      <c r="J224" s="2">
        <v>45757</v>
      </c>
      <c r="K224" t="s">
        <v>1</v>
      </c>
      <c r="L224" t="s">
        <v>0</v>
      </c>
      <c r="M224" t="s">
        <v>16</v>
      </c>
    </row>
    <row r="225" spans="6:13" x14ac:dyDescent="0.25">
      <c r="F225" t="s">
        <v>113</v>
      </c>
      <c r="G225" t="s">
        <v>163</v>
      </c>
      <c r="H225">
        <v>9.6</v>
      </c>
      <c r="I225" t="s">
        <v>18</v>
      </c>
      <c r="J225" s="2">
        <v>45758</v>
      </c>
      <c r="K225" t="s">
        <v>1</v>
      </c>
      <c r="L225" t="s">
        <v>0</v>
      </c>
      <c r="M225" t="s">
        <v>16</v>
      </c>
    </row>
    <row r="226" spans="6:13" x14ac:dyDescent="0.25">
      <c r="F226" t="s">
        <v>113</v>
      </c>
      <c r="G226" t="s">
        <v>164</v>
      </c>
      <c r="H226">
        <v>5.8</v>
      </c>
      <c r="I226" t="s">
        <v>18</v>
      </c>
      <c r="J226" s="2">
        <v>45758</v>
      </c>
      <c r="K226" t="s">
        <v>1</v>
      </c>
      <c r="L226" t="s">
        <v>0</v>
      </c>
      <c r="M226" t="s">
        <v>16</v>
      </c>
    </row>
    <row r="227" spans="6:13" x14ac:dyDescent="0.25">
      <c r="F227" t="s">
        <v>113</v>
      </c>
      <c r="G227" t="s">
        <v>165</v>
      </c>
      <c r="H227">
        <v>16</v>
      </c>
      <c r="I227" t="s">
        <v>18</v>
      </c>
      <c r="J227" s="2">
        <v>45758</v>
      </c>
      <c r="K227" t="s">
        <v>1</v>
      </c>
      <c r="L227" t="s">
        <v>0</v>
      </c>
      <c r="M227" t="s">
        <v>16</v>
      </c>
    </row>
    <row r="228" spans="6:13" x14ac:dyDescent="0.25">
      <c r="F228" t="s">
        <v>113</v>
      </c>
      <c r="G228" t="s">
        <v>166</v>
      </c>
      <c r="H228">
        <v>8.4</v>
      </c>
      <c r="I228" t="s">
        <v>18</v>
      </c>
      <c r="J228" s="2">
        <v>45758</v>
      </c>
      <c r="K228" t="s">
        <v>1</v>
      </c>
      <c r="L228" t="s">
        <v>0</v>
      </c>
      <c r="M228" t="s">
        <v>16</v>
      </c>
    </row>
    <row r="229" spans="6:13" x14ac:dyDescent="0.25">
      <c r="F229" t="s">
        <v>113</v>
      </c>
      <c r="G229" t="s">
        <v>167</v>
      </c>
      <c r="H229">
        <v>46</v>
      </c>
      <c r="I229" t="s">
        <v>18</v>
      </c>
      <c r="J229" s="2">
        <v>45758</v>
      </c>
      <c r="K229" t="s">
        <v>1</v>
      </c>
      <c r="L229" t="s">
        <v>0</v>
      </c>
      <c r="M229" t="s">
        <v>16</v>
      </c>
    </row>
    <row r="230" spans="6:13" x14ac:dyDescent="0.25">
      <c r="F230" t="s">
        <v>113</v>
      </c>
      <c r="G230" t="s">
        <v>168</v>
      </c>
      <c r="H230">
        <v>14.22</v>
      </c>
      <c r="I230" t="s">
        <v>18</v>
      </c>
      <c r="J230" s="2">
        <v>45758</v>
      </c>
      <c r="K230" t="s">
        <v>1</v>
      </c>
      <c r="L230" t="s">
        <v>0</v>
      </c>
      <c r="M230" t="s">
        <v>16</v>
      </c>
    </row>
    <row r="231" spans="6:13" x14ac:dyDescent="0.25">
      <c r="F231" t="s">
        <v>113</v>
      </c>
      <c r="G231" t="s">
        <v>169</v>
      </c>
      <c r="H231">
        <v>8</v>
      </c>
      <c r="I231" t="s">
        <v>18</v>
      </c>
      <c r="J231" s="2">
        <v>45756</v>
      </c>
      <c r="K231" t="s">
        <v>1</v>
      </c>
      <c r="L231" t="s">
        <v>0</v>
      </c>
      <c r="M231" t="s">
        <v>16</v>
      </c>
    </row>
    <row r="232" spans="6:13" x14ac:dyDescent="0.25">
      <c r="F232" t="s">
        <v>113</v>
      </c>
      <c r="G232" t="s">
        <v>170</v>
      </c>
      <c r="H232">
        <v>4</v>
      </c>
      <c r="I232" t="s">
        <v>18</v>
      </c>
      <c r="J232" s="2">
        <v>45756</v>
      </c>
      <c r="K232" t="s">
        <v>1</v>
      </c>
      <c r="L232" t="s">
        <v>27</v>
      </c>
      <c r="M232" t="s">
        <v>16</v>
      </c>
    </row>
    <row r="233" spans="6:13" x14ac:dyDescent="0.25">
      <c r="F233" t="s">
        <v>113</v>
      </c>
      <c r="G233" t="s">
        <v>171</v>
      </c>
      <c r="H233">
        <v>3</v>
      </c>
      <c r="I233" t="s">
        <v>18</v>
      </c>
      <c r="J233" s="2">
        <v>45754</v>
      </c>
      <c r="K233" t="s">
        <v>1</v>
      </c>
      <c r="L233" t="s">
        <v>27</v>
      </c>
      <c r="M233" t="s">
        <v>16</v>
      </c>
    </row>
    <row r="234" spans="6:13" x14ac:dyDescent="0.25">
      <c r="F234" t="s">
        <v>113</v>
      </c>
      <c r="G234" t="s">
        <v>172</v>
      </c>
      <c r="H234">
        <v>14.95</v>
      </c>
      <c r="I234" t="s">
        <v>18</v>
      </c>
      <c r="J234" s="2">
        <v>45759</v>
      </c>
      <c r="K234" t="s">
        <v>1</v>
      </c>
      <c r="L234" t="s">
        <v>0</v>
      </c>
      <c r="M234" t="s">
        <v>16</v>
      </c>
    </row>
    <row r="235" spans="6:13" x14ac:dyDescent="0.25">
      <c r="F235" t="s">
        <v>113</v>
      </c>
      <c r="G235" t="s">
        <v>173</v>
      </c>
      <c r="H235">
        <v>7</v>
      </c>
      <c r="I235" t="s">
        <v>18</v>
      </c>
      <c r="J235" s="2">
        <v>45759</v>
      </c>
      <c r="K235" t="s">
        <v>1</v>
      </c>
      <c r="L235" t="s">
        <v>27</v>
      </c>
      <c r="M235" t="s">
        <v>16</v>
      </c>
    </row>
    <row r="236" spans="6:13" x14ac:dyDescent="0.25">
      <c r="F236" t="s">
        <v>113</v>
      </c>
      <c r="G236" t="s">
        <v>173</v>
      </c>
      <c r="H236">
        <v>13.47</v>
      </c>
      <c r="I236" t="s">
        <v>18</v>
      </c>
      <c r="J236" s="2">
        <v>45759</v>
      </c>
      <c r="K236" t="s">
        <v>1</v>
      </c>
      <c r="L236" t="s">
        <v>0</v>
      </c>
      <c r="M236" t="s">
        <v>16</v>
      </c>
    </row>
    <row r="237" spans="6:13" x14ac:dyDescent="0.25">
      <c r="F237" t="s">
        <v>113</v>
      </c>
      <c r="G237" t="s">
        <v>163</v>
      </c>
      <c r="H237">
        <v>9.6</v>
      </c>
      <c r="I237" t="s">
        <v>18</v>
      </c>
      <c r="J237" s="2">
        <v>45759</v>
      </c>
      <c r="K237" t="s">
        <v>1</v>
      </c>
      <c r="L237" t="s">
        <v>0</v>
      </c>
      <c r="M237" t="s">
        <v>16</v>
      </c>
    </row>
    <row r="238" spans="6:13" x14ac:dyDescent="0.25">
      <c r="F238" t="s">
        <v>113</v>
      </c>
      <c r="G238" t="s">
        <v>174</v>
      </c>
      <c r="H238">
        <v>36</v>
      </c>
      <c r="I238" t="s">
        <v>18</v>
      </c>
      <c r="J238" s="2">
        <v>45760</v>
      </c>
      <c r="K238" t="s">
        <v>1</v>
      </c>
      <c r="L238" t="s">
        <v>0</v>
      </c>
      <c r="M238" t="s">
        <v>16</v>
      </c>
    </row>
    <row r="239" spans="6:13" x14ac:dyDescent="0.25">
      <c r="F239" t="s">
        <v>113</v>
      </c>
      <c r="G239" t="s">
        <v>175</v>
      </c>
      <c r="H239">
        <v>4.9000000000000004</v>
      </c>
      <c r="I239" t="s">
        <v>18</v>
      </c>
      <c r="J239" s="2">
        <v>45760</v>
      </c>
      <c r="K239" t="s">
        <v>1</v>
      </c>
      <c r="L239" t="s">
        <v>27</v>
      </c>
      <c r="M239" t="s">
        <v>16</v>
      </c>
    </row>
    <row r="240" spans="6:13" x14ac:dyDescent="0.25">
      <c r="F240" t="s">
        <v>113</v>
      </c>
      <c r="G240" t="s">
        <v>176</v>
      </c>
      <c r="H240">
        <v>20</v>
      </c>
      <c r="I240" t="s">
        <v>18</v>
      </c>
      <c r="J240" s="2">
        <v>45760</v>
      </c>
      <c r="K240" t="s">
        <v>1</v>
      </c>
      <c r="L240" t="s">
        <v>27</v>
      </c>
      <c r="M240" t="s">
        <v>16</v>
      </c>
    </row>
    <row r="241" spans="6:17" x14ac:dyDescent="0.25">
      <c r="F241" t="s">
        <v>113</v>
      </c>
      <c r="G241" t="s">
        <v>177</v>
      </c>
      <c r="H241">
        <v>10.199999999999999</v>
      </c>
      <c r="I241" t="s">
        <v>18</v>
      </c>
      <c r="J241" s="2">
        <v>45760</v>
      </c>
      <c r="K241" t="s">
        <v>1</v>
      </c>
      <c r="L241" t="s">
        <v>0</v>
      </c>
      <c r="M241" t="s">
        <v>16</v>
      </c>
    </row>
    <row r="242" spans="6:17" x14ac:dyDescent="0.25">
      <c r="F242" t="s">
        <v>113</v>
      </c>
      <c r="G242" t="s">
        <v>177</v>
      </c>
      <c r="H242">
        <v>7.5</v>
      </c>
      <c r="I242" t="s">
        <v>18</v>
      </c>
      <c r="J242" s="2">
        <v>45760</v>
      </c>
      <c r="K242" t="s">
        <v>1</v>
      </c>
      <c r="L242" t="s">
        <v>0</v>
      </c>
      <c r="M242" t="s">
        <v>16</v>
      </c>
    </row>
    <row r="243" spans="6:17" x14ac:dyDescent="0.25">
      <c r="F243" t="s">
        <v>113</v>
      </c>
      <c r="G243" t="s">
        <v>178</v>
      </c>
      <c r="H243">
        <v>8.3000000000000007</v>
      </c>
      <c r="I243" t="s">
        <v>18</v>
      </c>
      <c r="J243" s="2">
        <v>45760</v>
      </c>
      <c r="K243" t="s">
        <v>1</v>
      </c>
      <c r="L243" t="s">
        <v>27</v>
      </c>
      <c r="M243" t="s">
        <v>16</v>
      </c>
    </row>
    <row r="244" spans="6:17" x14ac:dyDescent="0.25">
      <c r="F244" t="s">
        <v>113</v>
      </c>
      <c r="G244" t="s">
        <v>172</v>
      </c>
      <c r="H244">
        <v>13.7</v>
      </c>
      <c r="I244" t="s">
        <v>18</v>
      </c>
      <c r="J244" s="2">
        <v>45761</v>
      </c>
      <c r="K244" t="s">
        <v>1</v>
      </c>
      <c r="L244" t="s">
        <v>0</v>
      </c>
      <c r="M244" t="s">
        <v>16</v>
      </c>
    </row>
    <row r="245" spans="6:17" x14ac:dyDescent="0.25">
      <c r="F245" t="s">
        <v>113</v>
      </c>
      <c r="G245" t="s">
        <v>173</v>
      </c>
      <c r="H245">
        <v>8.15</v>
      </c>
      <c r="I245" t="s">
        <v>18</v>
      </c>
      <c r="J245" s="2">
        <v>45761</v>
      </c>
      <c r="K245" t="s">
        <v>1</v>
      </c>
      <c r="L245" t="s">
        <v>27</v>
      </c>
      <c r="M245" t="s">
        <v>16</v>
      </c>
    </row>
    <row r="246" spans="6:17" x14ac:dyDescent="0.25">
      <c r="F246" t="s">
        <v>113</v>
      </c>
      <c r="G246" t="s">
        <v>179</v>
      </c>
      <c r="H246">
        <v>13.6</v>
      </c>
      <c r="I246" t="s">
        <v>18</v>
      </c>
      <c r="J246" s="2">
        <v>45761</v>
      </c>
      <c r="K246" t="s">
        <v>1</v>
      </c>
      <c r="L246" t="s">
        <v>0</v>
      </c>
      <c r="M246" t="s">
        <v>16</v>
      </c>
    </row>
    <row r="247" spans="6:17" x14ac:dyDescent="0.25">
      <c r="F247" t="s">
        <v>113</v>
      </c>
      <c r="G247" t="s">
        <v>180</v>
      </c>
      <c r="H247">
        <v>22.23</v>
      </c>
      <c r="I247" t="s">
        <v>18</v>
      </c>
      <c r="J247" s="2">
        <v>45762</v>
      </c>
      <c r="K247" t="s">
        <v>1</v>
      </c>
      <c r="L247" t="s">
        <v>0</v>
      </c>
      <c r="M247" t="s">
        <v>16</v>
      </c>
    </row>
    <row r="248" spans="6:17" x14ac:dyDescent="0.25">
      <c r="F248" t="s">
        <v>113</v>
      </c>
      <c r="G248" t="s">
        <v>181</v>
      </c>
      <c r="H248">
        <v>9.6</v>
      </c>
      <c r="I248" t="s">
        <v>18</v>
      </c>
      <c r="J248" s="2">
        <v>45762</v>
      </c>
      <c r="K248" t="s">
        <v>1</v>
      </c>
      <c r="L248" t="s">
        <v>0</v>
      </c>
      <c r="M248" t="s">
        <v>16</v>
      </c>
    </row>
    <row r="249" spans="6:17" x14ac:dyDescent="0.25">
      <c r="F249" t="s">
        <v>113</v>
      </c>
      <c r="G249" t="s">
        <v>103</v>
      </c>
      <c r="H249">
        <v>19.88</v>
      </c>
      <c r="I249" t="s">
        <v>18</v>
      </c>
      <c r="J249" s="2">
        <v>45762</v>
      </c>
      <c r="K249" t="s">
        <v>1</v>
      </c>
      <c r="L249" t="s">
        <v>0</v>
      </c>
      <c r="M249" t="s">
        <v>16</v>
      </c>
    </row>
    <row r="250" spans="6:17" x14ac:dyDescent="0.25">
      <c r="F250" t="s">
        <v>113</v>
      </c>
      <c r="G250" t="s">
        <v>182</v>
      </c>
      <c r="H250">
        <v>28.67</v>
      </c>
      <c r="I250" t="s">
        <v>18</v>
      </c>
      <c r="J250" s="2">
        <v>45761</v>
      </c>
      <c r="K250" t="s">
        <v>1</v>
      </c>
      <c r="L250" t="s">
        <v>0</v>
      </c>
      <c r="M250" t="s">
        <v>16</v>
      </c>
    </row>
    <row r="251" spans="6:17" x14ac:dyDescent="0.25">
      <c r="F251" t="s">
        <v>113</v>
      </c>
      <c r="G251" t="s">
        <v>183</v>
      </c>
      <c r="H251">
        <v>9.2100000000000009</v>
      </c>
      <c r="I251" t="s">
        <v>18</v>
      </c>
      <c r="J251" s="2">
        <v>45762</v>
      </c>
      <c r="K251" t="s">
        <v>1</v>
      </c>
      <c r="L251" t="s">
        <v>0</v>
      </c>
      <c r="M251" t="s">
        <v>16</v>
      </c>
    </row>
    <row r="252" spans="6:17" x14ac:dyDescent="0.25">
      <c r="F252" t="s">
        <v>113</v>
      </c>
      <c r="G252" t="s">
        <v>192</v>
      </c>
      <c r="H252">
        <v>5.2</v>
      </c>
      <c r="I252" t="s">
        <v>18</v>
      </c>
      <c r="J252" s="2">
        <v>45763</v>
      </c>
      <c r="K252" t="s">
        <v>1</v>
      </c>
      <c r="L252" t="s">
        <v>0</v>
      </c>
      <c r="M252" t="s">
        <v>16</v>
      </c>
    </row>
    <row r="253" spans="6:17" x14ac:dyDescent="0.25">
      <c r="F253" t="s">
        <v>113</v>
      </c>
      <c r="G253" t="s">
        <v>194</v>
      </c>
      <c r="H253">
        <v>9.6300000000000008</v>
      </c>
      <c r="I253" t="s">
        <v>18</v>
      </c>
      <c r="J253" s="2">
        <v>45763</v>
      </c>
      <c r="K253" t="s">
        <v>1</v>
      </c>
      <c r="L253" t="s">
        <v>0</v>
      </c>
      <c r="M253" t="s">
        <v>16</v>
      </c>
    </row>
    <row r="254" spans="6:17" x14ac:dyDescent="0.25">
      <c r="F254" t="s">
        <v>113</v>
      </c>
      <c r="G254" t="s">
        <v>180</v>
      </c>
      <c r="H254">
        <v>13.23</v>
      </c>
      <c r="I254" t="s">
        <v>18</v>
      </c>
      <c r="J254" s="2">
        <v>45763</v>
      </c>
      <c r="K254" t="s">
        <v>1</v>
      </c>
      <c r="L254" t="s">
        <v>0</v>
      </c>
      <c r="M254" t="s">
        <v>16</v>
      </c>
      <c r="Q254" t="s">
        <v>191</v>
      </c>
    </row>
    <row r="255" spans="6:17" x14ac:dyDescent="0.25">
      <c r="F255" t="s">
        <v>113</v>
      </c>
      <c r="G255" t="s">
        <v>195</v>
      </c>
      <c r="H255">
        <v>12.05</v>
      </c>
      <c r="I255" t="s">
        <v>18</v>
      </c>
      <c r="J255" s="2">
        <v>45763</v>
      </c>
      <c r="K255" t="s">
        <v>1</v>
      </c>
      <c r="L255" t="s">
        <v>0</v>
      </c>
      <c r="M255" t="s">
        <v>16</v>
      </c>
    </row>
    <row r="256" spans="6:17" x14ac:dyDescent="0.25">
      <c r="F256" t="s">
        <v>113</v>
      </c>
      <c r="G256" t="s">
        <v>196</v>
      </c>
      <c r="H256">
        <v>1.5</v>
      </c>
      <c r="I256" t="s">
        <v>18</v>
      </c>
      <c r="J256" s="2">
        <v>45763</v>
      </c>
      <c r="K256" t="s">
        <v>1</v>
      </c>
      <c r="L256" t="s">
        <v>0</v>
      </c>
      <c r="M256" t="s">
        <v>16</v>
      </c>
    </row>
    <row r="257" spans="6:13" x14ac:dyDescent="0.25">
      <c r="F257" t="s">
        <v>113</v>
      </c>
      <c r="G257" t="s">
        <v>197</v>
      </c>
      <c r="H257">
        <v>6.43</v>
      </c>
      <c r="I257" t="s">
        <v>18</v>
      </c>
      <c r="J257" s="2">
        <v>45763</v>
      </c>
      <c r="K257" t="s">
        <v>1</v>
      </c>
      <c r="L257" t="s">
        <v>0</v>
      </c>
      <c r="M257" t="s">
        <v>16</v>
      </c>
    </row>
    <row r="258" spans="6:13" x14ac:dyDescent="0.25">
      <c r="F258" t="s">
        <v>113</v>
      </c>
      <c r="G258" t="s">
        <v>183</v>
      </c>
      <c r="H258">
        <v>23.36</v>
      </c>
      <c r="I258" t="s">
        <v>18</v>
      </c>
      <c r="J258" s="2">
        <v>45763</v>
      </c>
      <c r="K258" t="s">
        <v>1</v>
      </c>
      <c r="L258" t="s">
        <v>27</v>
      </c>
      <c r="M258" t="s">
        <v>16</v>
      </c>
    </row>
    <row r="259" spans="6:13" x14ac:dyDescent="0.25">
      <c r="F259" t="s">
        <v>113</v>
      </c>
      <c r="G259" t="s">
        <v>198</v>
      </c>
      <c r="H259">
        <v>75</v>
      </c>
      <c r="I259" t="s">
        <v>18</v>
      </c>
      <c r="J259" s="2">
        <v>45764</v>
      </c>
      <c r="K259" t="s">
        <v>1</v>
      </c>
      <c r="L259" t="s">
        <v>0</v>
      </c>
      <c r="M259" t="s">
        <v>16</v>
      </c>
    </row>
    <row r="260" spans="6:13" x14ac:dyDescent="0.25">
      <c r="F260" t="s">
        <v>113</v>
      </c>
      <c r="G260" t="s">
        <v>199</v>
      </c>
      <c r="H260">
        <v>13.9</v>
      </c>
      <c r="I260" t="s">
        <v>18</v>
      </c>
      <c r="J260" s="2">
        <v>45764</v>
      </c>
      <c r="K260" t="s">
        <v>1</v>
      </c>
      <c r="L260" t="s">
        <v>0</v>
      </c>
      <c r="M260" t="s">
        <v>16</v>
      </c>
    </row>
    <row r="261" spans="6:13" x14ac:dyDescent="0.25">
      <c r="F261" t="s">
        <v>113</v>
      </c>
      <c r="G261" t="s">
        <v>200</v>
      </c>
      <c r="H261">
        <v>10.8</v>
      </c>
      <c r="I261" t="s">
        <v>18</v>
      </c>
      <c r="J261" s="2">
        <v>45765</v>
      </c>
      <c r="K261" t="s">
        <v>1</v>
      </c>
      <c r="L261" t="s">
        <v>0</v>
      </c>
      <c r="M261" t="s">
        <v>16</v>
      </c>
    </row>
    <row r="262" spans="6:13" x14ac:dyDescent="0.25">
      <c r="F262" t="s">
        <v>113</v>
      </c>
      <c r="G262" t="s">
        <v>201</v>
      </c>
      <c r="H262">
        <v>12</v>
      </c>
      <c r="I262" t="s">
        <v>18</v>
      </c>
      <c r="J262" s="2">
        <v>45765</v>
      </c>
      <c r="K262" t="s">
        <v>1</v>
      </c>
      <c r="L262" t="s">
        <v>27</v>
      </c>
      <c r="M262" t="s">
        <v>16</v>
      </c>
    </row>
    <row r="263" spans="6:13" x14ac:dyDescent="0.25">
      <c r="F263" t="s">
        <v>113</v>
      </c>
      <c r="G263" t="s">
        <v>202</v>
      </c>
      <c r="H263">
        <v>8</v>
      </c>
      <c r="I263" t="s">
        <v>18</v>
      </c>
      <c r="J263" s="2">
        <v>45765</v>
      </c>
      <c r="K263" t="s">
        <v>1</v>
      </c>
      <c r="L263" t="s">
        <v>27</v>
      </c>
      <c r="M263" t="s">
        <v>16</v>
      </c>
    </row>
    <row r="264" spans="6:13" x14ac:dyDescent="0.25">
      <c r="F264" t="s">
        <v>113</v>
      </c>
      <c r="G264" t="s">
        <v>203</v>
      </c>
      <c r="H264">
        <v>18</v>
      </c>
      <c r="I264" t="s">
        <v>18</v>
      </c>
      <c r="J264" s="2">
        <v>45765</v>
      </c>
      <c r="K264" t="s">
        <v>1</v>
      </c>
      <c r="L264" t="s">
        <v>0</v>
      </c>
      <c r="M264" t="s">
        <v>16</v>
      </c>
    </row>
    <row r="265" spans="6:13" x14ac:dyDescent="0.25">
      <c r="F265" t="s">
        <v>113</v>
      </c>
      <c r="G265" t="s">
        <v>199</v>
      </c>
      <c r="H265">
        <v>19</v>
      </c>
      <c r="I265" t="s">
        <v>18</v>
      </c>
      <c r="J265" s="2">
        <v>45765</v>
      </c>
      <c r="K265" t="s">
        <v>1</v>
      </c>
      <c r="L265" t="s">
        <v>27</v>
      </c>
      <c r="M265" t="s">
        <v>16</v>
      </c>
    </row>
    <row r="266" spans="6:13" x14ac:dyDescent="0.25">
      <c r="F266" t="s">
        <v>113</v>
      </c>
      <c r="G266" t="s">
        <v>200</v>
      </c>
      <c r="H266">
        <v>8.5</v>
      </c>
      <c r="I266" t="s">
        <v>18</v>
      </c>
      <c r="J266" s="2">
        <v>45767</v>
      </c>
      <c r="K266" t="s">
        <v>1</v>
      </c>
      <c r="L266" t="s">
        <v>27</v>
      </c>
      <c r="M266" t="s">
        <v>16</v>
      </c>
    </row>
    <row r="267" spans="6:13" x14ac:dyDescent="0.25">
      <c r="F267" t="s">
        <v>113</v>
      </c>
      <c r="G267" t="s">
        <v>204</v>
      </c>
      <c r="H267">
        <v>2</v>
      </c>
      <c r="I267" t="s">
        <v>18</v>
      </c>
      <c r="J267" s="2">
        <v>45767</v>
      </c>
      <c r="K267" t="s">
        <v>1</v>
      </c>
      <c r="L267" t="s">
        <v>27</v>
      </c>
      <c r="M267" t="s">
        <v>16</v>
      </c>
    </row>
    <row r="268" spans="6:13" x14ac:dyDescent="0.25">
      <c r="F268" t="s">
        <v>113</v>
      </c>
      <c r="G268" t="s">
        <v>200</v>
      </c>
      <c r="H268">
        <v>11.75</v>
      </c>
      <c r="I268" t="s">
        <v>18</v>
      </c>
      <c r="J268" s="2">
        <v>45766</v>
      </c>
      <c r="K268" t="s">
        <v>1</v>
      </c>
      <c r="L268" t="s">
        <v>0</v>
      </c>
      <c r="M268" t="s">
        <v>16</v>
      </c>
    </row>
    <row r="269" spans="6:13" x14ac:dyDescent="0.25">
      <c r="F269" t="s">
        <v>113</v>
      </c>
      <c r="G269" t="s">
        <v>205</v>
      </c>
      <c r="H269">
        <v>12</v>
      </c>
      <c r="I269" t="s">
        <v>18</v>
      </c>
      <c r="J269" s="2">
        <v>45766</v>
      </c>
      <c r="K269" t="s">
        <v>1</v>
      </c>
      <c r="L269" t="s">
        <v>0</v>
      </c>
      <c r="M269" t="s">
        <v>16</v>
      </c>
    </row>
    <row r="270" spans="6:13" x14ac:dyDescent="0.25">
      <c r="F270" t="s">
        <v>113</v>
      </c>
      <c r="G270" t="s">
        <v>206</v>
      </c>
      <c r="H270">
        <v>15.4</v>
      </c>
      <c r="I270" t="s">
        <v>18</v>
      </c>
      <c r="J270" s="2">
        <v>45767</v>
      </c>
      <c r="K270" t="s">
        <v>1</v>
      </c>
      <c r="L270" t="s">
        <v>0</v>
      </c>
      <c r="M270" t="s">
        <v>16</v>
      </c>
    </row>
    <row r="271" spans="6:13" x14ac:dyDescent="0.25">
      <c r="F271" t="s">
        <v>113</v>
      </c>
      <c r="G271" t="s">
        <v>207</v>
      </c>
      <c r="H271">
        <v>9.7100000000000009</v>
      </c>
      <c r="I271" t="s">
        <v>18</v>
      </c>
      <c r="J271" s="2">
        <v>45767</v>
      </c>
      <c r="K271" t="s">
        <v>1</v>
      </c>
      <c r="L271" t="s">
        <v>27</v>
      </c>
      <c r="M271" t="s">
        <v>16</v>
      </c>
    </row>
    <row r="272" spans="6:13" x14ac:dyDescent="0.25">
      <c r="F272" t="s">
        <v>113</v>
      </c>
      <c r="G272" t="s">
        <v>208</v>
      </c>
      <c r="H272">
        <v>40</v>
      </c>
      <c r="I272" t="s">
        <v>18</v>
      </c>
      <c r="J272" s="2">
        <v>45767</v>
      </c>
      <c r="K272" t="s">
        <v>1</v>
      </c>
      <c r="L272" t="s">
        <v>0</v>
      </c>
      <c r="M272" t="s">
        <v>16</v>
      </c>
    </row>
    <row r="273" spans="3:13" x14ac:dyDescent="0.25">
      <c r="F273" t="s">
        <v>113</v>
      </c>
      <c r="G273" t="s">
        <v>209</v>
      </c>
      <c r="H273">
        <v>5.34</v>
      </c>
      <c r="I273" t="s">
        <v>18</v>
      </c>
      <c r="J273" s="2">
        <v>45767</v>
      </c>
      <c r="K273" t="s">
        <v>1</v>
      </c>
      <c r="L273" t="s">
        <v>0</v>
      </c>
      <c r="M273" t="s">
        <v>16</v>
      </c>
    </row>
    <row r="274" spans="3:13" x14ac:dyDescent="0.25">
      <c r="F274" t="s">
        <v>113</v>
      </c>
      <c r="G274" t="s">
        <v>210</v>
      </c>
      <c r="H274">
        <v>3</v>
      </c>
      <c r="I274" t="s">
        <v>18</v>
      </c>
      <c r="J274" s="2">
        <v>45768</v>
      </c>
      <c r="K274" t="s">
        <v>1</v>
      </c>
      <c r="L274" t="s">
        <v>0</v>
      </c>
      <c r="M274" t="s">
        <v>16</v>
      </c>
    </row>
    <row r="275" spans="3:13" x14ac:dyDescent="0.25">
      <c r="F275" t="s">
        <v>113</v>
      </c>
      <c r="G275" t="s">
        <v>211</v>
      </c>
      <c r="H275">
        <v>11.1</v>
      </c>
      <c r="I275" t="s">
        <v>18</v>
      </c>
      <c r="J275" s="2">
        <v>45768</v>
      </c>
      <c r="K275" t="s">
        <v>1</v>
      </c>
      <c r="L275" t="s">
        <v>0</v>
      </c>
      <c r="M275" t="s">
        <v>16</v>
      </c>
    </row>
    <row r="276" spans="3:13" x14ac:dyDescent="0.25">
      <c r="F276" t="s">
        <v>113</v>
      </c>
      <c r="G276" t="s">
        <v>211</v>
      </c>
      <c r="H276">
        <v>9.1</v>
      </c>
      <c r="I276" t="s">
        <v>18</v>
      </c>
      <c r="J276" s="2">
        <v>45768</v>
      </c>
      <c r="K276" t="s">
        <v>1</v>
      </c>
      <c r="L276" t="s">
        <v>0</v>
      </c>
      <c r="M276" t="s">
        <v>16</v>
      </c>
    </row>
    <row r="277" spans="3:13" x14ac:dyDescent="0.25">
      <c r="F277" t="s">
        <v>113</v>
      </c>
      <c r="G277" t="s">
        <v>209</v>
      </c>
      <c r="H277">
        <v>3.49</v>
      </c>
      <c r="I277" t="s">
        <v>18</v>
      </c>
      <c r="J277" s="2">
        <v>45768</v>
      </c>
      <c r="K277" t="s">
        <v>1</v>
      </c>
      <c r="L277" t="s">
        <v>27</v>
      </c>
      <c r="M277" t="s">
        <v>16</v>
      </c>
    </row>
    <row r="278" spans="3:13" x14ac:dyDescent="0.25">
      <c r="F278" t="s">
        <v>113</v>
      </c>
      <c r="G278" t="s">
        <v>212</v>
      </c>
      <c r="H278">
        <v>9</v>
      </c>
      <c r="I278" t="s">
        <v>18</v>
      </c>
      <c r="J278" s="2">
        <v>45768</v>
      </c>
      <c r="K278" t="s">
        <v>1</v>
      </c>
      <c r="L278" t="s">
        <v>0</v>
      </c>
      <c r="M278" t="s">
        <v>16</v>
      </c>
    </row>
    <row r="279" spans="3:13" x14ac:dyDescent="0.25">
      <c r="F279" t="s">
        <v>113</v>
      </c>
      <c r="G279" t="s">
        <v>213</v>
      </c>
      <c r="H279">
        <v>4</v>
      </c>
      <c r="I279" t="s">
        <v>18</v>
      </c>
      <c r="J279" s="2">
        <v>45768</v>
      </c>
      <c r="K279" t="s">
        <v>1</v>
      </c>
      <c r="L279" t="s">
        <v>0</v>
      </c>
      <c r="M279" t="s">
        <v>16</v>
      </c>
    </row>
    <row r="280" spans="3:13" x14ac:dyDescent="0.25">
      <c r="F280" t="s">
        <v>113</v>
      </c>
      <c r="G280" t="s">
        <v>211</v>
      </c>
      <c r="H280">
        <v>12.05</v>
      </c>
      <c r="I280" t="s">
        <v>18</v>
      </c>
      <c r="J280" s="2">
        <v>45769</v>
      </c>
      <c r="K280" t="s">
        <v>1</v>
      </c>
      <c r="L280" t="s">
        <v>0</v>
      </c>
      <c r="M280" t="s">
        <v>16</v>
      </c>
    </row>
    <row r="281" spans="3:13" x14ac:dyDescent="0.25">
      <c r="F281" t="s">
        <v>113</v>
      </c>
      <c r="G281" t="s">
        <v>214</v>
      </c>
      <c r="H281">
        <v>13.4</v>
      </c>
      <c r="I281" t="s">
        <v>18</v>
      </c>
      <c r="J281" s="2">
        <v>45769</v>
      </c>
      <c r="K281" t="s">
        <v>1</v>
      </c>
      <c r="L281" t="s">
        <v>0</v>
      </c>
      <c r="M281" t="s">
        <v>16</v>
      </c>
    </row>
    <row r="282" spans="3:13" x14ac:dyDescent="0.25">
      <c r="F282" t="s">
        <v>113</v>
      </c>
      <c r="G282" t="s">
        <v>215</v>
      </c>
      <c r="H282">
        <v>7</v>
      </c>
      <c r="I282" t="s">
        <v>18</v>
      </c>
      <c r="J282" s="2">
        <v>45768</v>
      </c>
      <c r="K282" t="s">
        <v>1</v>
      </c>
      <c r="L282" t="s">
        <v>0</v>
      </c>
      <c r="M282" t="s">
        <v>16</v>
      </c>
    </row>
    <row r="283" spans="3:13" x14ac:dyDescent="0.25">
      <c r="C283" s="6" t="s">
        <v>253</v>
      </c>
      <c r="F283" t="s">
        <v>113</v>
      </c>
      <c r="G283" t="s">
        <v>216</v>
      </c>
      <c r="H283">
        <v>7</v>
      </c>
      <c r="I283" t="s">
        <v>18</v>
      </c>
      <c r="J283" s="2">
        <v>45768</v>
      </c>
      <c r="K283" t="s">
        <v>1</v>
      </c>
      <c r="L283" t="s">
        <v>59</v>
      </c>
      <c r="M283" t="s">
        <v>16</v>
      </c>
    </row>
    <row r="284" spans="3:13" x14ac:dyDescent="0.25">
      <c r="F284" t="s">
        <v>113</v>
      </c>
      <c r="G284" t="s">
        <v>217</v>
      </c>
      <c r="H284">
        <v>2.7</v>
      </c>
      <c r="I284" t="s">
        <v>18</v>
      </c>
      <c r="J284" s="2">
        <v>45770</v>
      </c>
      <c r="K284" t="s">
        <v>1</v>
      </c>
      <c r="L284" t="s">
        <v>27</v>
      </c>
      <c r="M284" t="s">
        <v>193</v>
      </c>
    </row>
    <row r="285" spans="3:13" x14ac:dyDescent="0.25">
      <c r="F285" t="s">
        <v>113</v>
      </c>
      <c r="G285" t="s">
        <v>218</v>
      </c>
      <c r="H285">
        <v>20</v>
      </c>
      <c r="I285" t="s">
        <v>18</v>
      </c>
      <c r="J285" s="2">
        <v>45772</v>
      </c>
      <c r="K285" t="s">
        <v>1</v>
      </c>
      <c r="L285" t="s">
        <v>27</v>
      </c>
      <c r="M285" t="s">
        <v>193</v>
      </c>
    </row>
    <row r="286" spans="3:13" x14ac:dyDescent="0.25">
      <c r="F286" t="s">
        <v>113</v>
      </c>
      <c r="G286" t="s">
        <v>219</v>
      </c>
      <c r="H286">
        <v>30</v>
      </c>
      <c r="I286" t="s">
        <v>18</v>
      </c>
      <c r="J286" s="2">
        <v>45775</v>
      </c>
      <c r="K286" t="s">
        <v>1</v>
      </c>
      <c r="L286" t="s">
        <v>27</v>
      </c>
      <c r="M286" t="s">
        <v>193</v>
      </c>
    </row>
    <row r="287" spans="3:13" x14ac:dyDescent="0.25">
      <c r="F287" t="s">
        <v>113</v>
      </c>
      <c r="G287" t="s">
        <v>220</v>
      </c>
      <c r="H287">
        <v>2.9</v>
      </c>
      <c r="I287" t="s">
        <v>18</v>
      </c>
      <c r="J287" s="2">
        <v>45775</v>
      </c>
      <c r="K287" t="s">
        <v>1</v>
      </c>
      <c r="L287" t="s">
        <v>27</v>
      </c>
      <c r="M287" t="s">
        <v>193</v>
      </c>
    </row>
    <row r="288" spans="3:13" x14ac:dyDescent="0.25">
      <c r="F288" t="s">
        <v>113</v>
      </c>
      <c r="G288" t="s">
        <v>221</v>
      </c>
      <c r="H288">
        <v>2.2999999999999998</v>
      </c>
      <c r="I288" t="s">
        <v>18</v>
      </c>
      <c r="J288" s="2">
        <v>45770</v>
      </c>
      <c r="K288" t="s">
        <v>0</v>
      </c>
      <c r="L288" t="s">
        <v>0</v>
      </c>
      <c r="M288" t="s">
        <v>16</v>
      </c>
    </row>
    <row r="289" spans="6:13" x14ac:dyDescent="0.25">
      <c r="F289" t="s">
        <v>113</v>
      </c>
      <c r="G289" t="s">
        <v>221</v>
      </c>
      <c r="H289">
        <v>6</v>
      </c>
      <c r="I289" t="s">
        <v>18</v>
      </c>
      <c r="J289" s="2">
        <v>45770</v>
      </c>
      <c r="K289" t="s">
        <v>0</v>
      </c>
      <c r="L289" t="s">
        <v>0</v>
      </c>
      <c r="M289" t="s">
        <v>16</v>
      </c>
    </row>
    <row r="290" spans="6:13" x14ac:dyDescent="0.25">
      <c r="F290" t="s">
        <v>113</v>
      </c>
      <c r="G290" t="s">
        <v>221</v>
      </c>
      <c r="H290">
        <v>4.5999999999999996</v>
      </c>
      <c r="I290" t="s">
        <v>18</v>
      </c>
      <c r="J290" s="2">
        <v>45771</v>
      </c>
      <c r="K290" t="s">
        <v>0</v>
      </c>
      <c r="L290" t="s">
        <v>0</v>
      </c>
      <c r="M290" t="s">
        <v>16</v>
      </c>
    </row>
    <row r="291" spans="6:13" x14ac:dyDescent="0.25">
      <c r="F291" t="s">
        <v>113</v>
      </c>
      <c r="G291" t="s">
        <v>222</v>
      </c>
      <c r="H291">
        <f>4.6+5.6</f>
        <v>10.199999999999999</v>
      </c>
      <c r="I291" t="s">
        <v>18</v>
      </c>
      <c r="J291" s="2">
        <v>45772</v>
      </c>
      <c r="K291" t="s">
        <v>0</v>
      </c>
      <c r="L291" t="s">
        <v>0</v>
      </c>
      <c r="M291" t="s">
        <v>16</v>
      </c>
    </row>
    <row r="292" spans="6:13" x14ac:dyDescent="0.25">
      <c r="F292" t="s">
        <v>113</v>
      </c>
      <c r="G292" t="s">
        <v>222</v>
      </c>
      <c r="H292">
        <v>5</v>
      </c>
      <c r="I292" t="s">
        <v>18</v>
      </c>
      <c r="J292" s="2">
        <v>45775</v>
      </c>
      <c r="K292" t="s">
        <v>0</v>
      </c>
      <c r="L292" t="s">
        <v>0</v>
      </c>
      <c r="M292" t="s">
        <v>16</v>
      </c>
    </row>
    <row r="293" spans="6:13" x14ac:dyDescent="0.25">
      <c r="F293" t="s">
        <v>113</v>
      </c>
      <c r="G293" t="s">
        <v>223</v>
      </c>
      <c r="H293">
        <v>2.65</v>
      </c>
      <c r="I293" t="s">
        <v>18</v>
      </c>
      <c r="J293" s="2">
        <v>45775</v>
      </c>
      <c r="K293" t="s">
        <v>59</v>
      </c>
      <c r="L293" t="s">
        <v>0</v>
      </c>
      <c r="M293" t="s">
        <v>16</v>
      </c>
    </row>
    <row r="294" spans="6:13" x14ac:dyDescent="0.25">
      <c r="F294" t="s">
        <v>113</v>
      </c>
      <c r="G294" t="s">
        <v>224</v>
      </c>
      <c r="H294">
        <v>13</v>
      </c>
      <c r="I294" t="s">
        <v>18</v>
      </c>
      <c r="J294" s="2">
        <v>45769</v>
      </c>
      <c r="K294" t="s">
        <v>1</v>
      </c>
      <c r="L294" t="s">
        <v>0</v>
      </c>
      <c r="M294" t="s">
        <v>16</v>
      </c>
    </row>
    <row r="295" spans="6:13" x14ac:dyDescent="0.25">
      <c r="F295" t="s">
        <v>113</v>
      </c>
      <c r="G295" t="s">
        <v>225</v>
      </c>
      <c r="H295">
        <v>16.260000000000002</v>
      </c>
      <c r="I295" t="s">
        <v>18</v>
      </c>
      <c r="J295" s="2">
        <v>45769</v>
      </c>
      <c r="K295" t="s">
        <v>1</v>
      </c>
      <c r="L295" t="s">
        <v>0</v>
      </c>
      <c r="M295" t="s">
        <v>16</v>
      </c>
    </row>
    <row r="296" spans="6:13" x14ac:dyDescent="0.25">
      <c r="F296" t="s">
        <v>113</v>
      </c>
      <c r="G296" t="s">
        <v>226</v>
      </c>
      <c r="H296">
        <v>13.2</v>
      </c>
      <c r="I296" t="s">
        <v>18</v>
      </c>
      <c r="J296" s="2">
        <v>45770</v>
      </c>
      <c r="K296" t="s">
        <v>1</v>
      </c>
      <c r="L296" t="s">
        <v>0</v>
      </c>
      <c r="M296" t="s">
        <v>16</v>
      </c>
    </row>
    <row r="297" spans="6:13" x14ac:dyDescent="0.25">
      <c r="F297" t="s">
        <v>113</v>
      </c>
      <c r="G297" t="s">
        <v>227</v>
      </c>
      <c r="H297">
        <v>23.9</v>
      </c>
      <c r="I297" t="s">
        <v>18</v>
      </c>
      <c r="J297" s="2">
        <v>45770</v>
      </c>
      <c r="K297" t="s">
        <v>1</v>
      </c>
      <c r="L297" t="s">
        <v>0</v>
      </c>
      <c r="M297" t="s">
        <v>16</v>
      </c>
    </row>
    <row r="298" spans="6:13" x14ac:dyDescent="0.25">
      <c r="F298" t="s">
        <v>113</v>
      </c>
      <c r="G298" t="s">
        <v>228</v>
      </c>
      <c r="H298">
        <v>37.799999999999997</v>
      </c>
      <c r="I298" t="s">
        <v>18</v>
      </c>
      <c r="J298" s="2">
        <v>45770</v>
      </c>
      <c r="K298" t="s">
        <v>1</v>
      </c>
      <c r="L298" t="s">
        <v>0</v>
      </c>
      <c r="M298" t="s">
        <v>16</v>
      </c>
    </row>
    <row r="299" spans="6:13" x14ac:dyDescent="0.25">
      <c r="F299" t="s">
        <v>113</v>
      </c>
      <c r="G299" t="s">
        <v>229</v>
      </c>
      <c r="H299">
        <v>30</v>
      </c>
      <c r="I299" t="s">
        <v>18</v>
      </c>
      <c r="J299" s="2">
        <v>45770</v>
      </c>
      <c r="K299" t="s">
        <v>1</v>
      </c>
      <c r="L299" t="s">
        <v>0</v>
      </c>
      <c r="M299" t="s">
        <v>16</v>
      </c>
    </row>
    <row r="300" spans="6:13" x14ac:dyDescent="0.25">
      <c r="F300" t="s">
        <v>113</v>
      </c>
      <c r="G300" t="s">
        <v>230</v>
      </c>
      <c r="H300">
        <v>2.9</v>
      </c>
      <c r="I300" t="s">
        <v>18</v>
      </c>
      <c r="J300" s="2">
        <v>45770</v>
      </c>
      <c r="K300" t="s">
        <v>1</v>
      </c>
      <c r="L300" t="s">
        <v>0</v>
      </c>
      <c r="M300" t="s">
        <v>16</v>
      </c>
    </row>
    <row r="301" spans="6:13" x14ac:dyDescent="0.25">
      <c r="F301" t="s">
        <v>113</v>
      </c>
      <c r="G301" t="s">
        <v>231</v>
      </c>
      <c r="H301">
        <v>13.6</v>
      </c>
      <c r="I301" t="s">
        <v>18</v>
      </c>
      <c r="J301" s="2">
        <v>45770</v>
      </c>
      <c r="K301" t="s">
        <v>1</v>
      </c>
      <c r="L301" t="s">
        <v>0</v>
      </c>
      <c r="M301" t="s">
        <v>16</v>
      </c>
    </row>
    <row r="302" spans="6:13" x14ac:dyDescent="0.25">
      <c r="F302" t="s">
        <v>113</v>
      </c>
      <c r="G302" t="s">
        <v>232</v>
      </c>
      <c r="H302">
        <v>4.5999999999999996</v>
      </c>
      <c r="I302" t="s">
        <v>18</v>
      </c>
      <c r="J302" s="2">
        <v>45771</v>
      </c>
      <c r="K302" t="s">
        <v>0</v>
      </c>
      <c r="L302" t="s">
        <v>0</v>
      </c>
      <c r="M302" t="s">
        <v>16</v>
      </c>
    </row>
    <row r="303" spans="6:13" x14ac:dyDescent="0.25">
      <c r="F303" t="s">
        <v>113</v>
      </c>
      <c r="G303" t="s">
        <v>231</v>
      </c>
      <c r="H303">
        <v>11.1</v>
      </c>
      <c r="I303" t="s">
        <v>18</v>
      </c>
      <c r="J303" s="2">
        <v>45771</v>
      </c>
      <c r="K303" t="s">
        <v>1</v>
      </c>
      <c r="L303" t="s">
        <v>0</v>
      </c>
      <c r="M303" t="s">
        <v>16</v>
      </c>
    </row>
    <row r="304" spans="6:13" x14ac:dyDescent="0.25">
      <c r="F304" t="s">
        <v>113</v>
      </c>
      <c r="G304" t="s">
        <v>233</v>
      </c>
      <c r="H304">
        <v>17.95</v>
      </c>
      <c r="I304" t="s">
        <v>18</v>
      </c>
      <c r="J304" s="2">
        <v>45771</v>
      </c>
      <c r="K304" t="s">
        <v>1</v>
      </c>
      <c r="L304" t="s">
        <v>0</v>
      </c>
      <c r="M304" t="s">
        <v>16</v>
      </c>
    </row>
    <row r="305" spans="6:13" x14ac:dyDescent="0.25">
      <c r="F305" t="s">
        <v>113</v>
      </c>
      <c r="G305" t="s">
        <v>234</v>
      </c>
      <c r="H305">
        <v>0.7</v>
      </c>
      <c r="I305" t="s">
        <v>18</v>
      </c>
      <c r="J305" s="2">
        <v>45771</v>
      </c>
      <c r="K305" t="s">
        <v>59</v>
      </c>
      <c r="L305" t="s">
        <v>0</v>
      </c>
      <c r="M305" t="s">
        <v>16</v>
      </c>
    </row>
    <row r="306" spans="6:13" x14ac:dyDescent="0.25">
      <c r="F306" t="s">
        <v>113</v>
      </c>
      <c r="G306" t="s">
        <v>235</v>
      </c>
      <c r="H306">
        <v>5.6</v>
      </c>
      <c r="I306" t="s">
        <v>18</v>
      </c>
      <c r="J306" s="2">
        <v>45771</v>
      </c>
      <c r="K306" t="s">
        <v>0</v>
      </c>
      <c r="L306" t="s">
        <v>0</v>
      </c>
      <c r="M306" t="s">
        <v>16</v>
      </c>
    </row>
    <row r="307" spans="6:13" x14ac:dyDescent="0.25">
      <c r="F307" t="s">
        <v>113</v>
      </c>
      <c r="G307" t="s">
        <v>235</v>
      </c>
      <c r="H307">
        <v>6.6</v>
      </c>
      <c r="I307" t="s">
        <v>18</v>
      </c>
      <c r="J307" s="2">
        <v>45771</v>
      </c>
      <c r="K307" t="s">
        <v>0</v>
      </c>
      <c r="L307" t="s">
        <v>0</v>
      </c>
      <c r="M307" t="s">
        <v>16</v>
      </c>
    </row>
    <row r="308" spans="6:13" x14ac:dyDescent="0.25">
      <c r="F308" t="s">
        <v>113</v>
      </c>
      <c r="G308" t="s">
        <v>226</v>
      </c>
      <c r="H308">
        <v>19</v>
      </c>
      <c r="I308" t="s">
        <v>18</v>
      </c>
      <c r="J308" s="2">
        <v>45771</v>
      </c>
      <c r="K308" t="s">
        <v>1</v>
      </c>
      <c r="L308" t="s">
        <v>0</v>
      </c>
      <c r="M308" t="s">
        <v>16</v>
      </c>
    </row>
    <row r="309" spans="6:13" x14ac:dyDescent="0.25">
      <c r="F309" t="s">
        <v>113</v>
      </c>
      <c r="G309" t="s">
        <v>236</v>
      </c>
      <c r="H309">
        <v>29</v>
      </c>
      <c r="I309" t="s">
        <v>18</v>
      </c>
      <c r="J309" s="2">
        <v>45771</v>
      </c>
      <c r="K309" t="s">
        <v>0</v>
      </c>
      <c r="L309" t="s">
        <v>0</v>
      </c>
      <c r="M309" t="s">
        <v>16</v>
      </c>
    </row>
    <row r="310" spans="6:13" x14ac:dyDescent="0.25">
      <c r="F310" t="s">
        <v>113</v>
      </c>
      <c r="G310" t="s">
        <v>232</v>
      </c>
      <c r="H310">
        <v>4.5999999999999996</v>
      </c>
      <c r="I310" t="s">
        <v>18</v>
      </c>
      <c r="J310" s="2">
        <v>45772</v>
      </c>
      <c r="K310" t="s">
        <v>0</v>
      </c>
      <c r="L310" t="s">
        <v>0</v>
      </c>
      <c r="M310" t="s">
        <v>16</v>
      </c>
    </row>
    <row r="311" spans="6:13" x14ac:dyDescent="0.25">
      <c r="F311" t="s">
        <v>113</v>
      </c>
      <c r="G311" t="s">
        <v>222</v>
      </c>
      <c r="H311">
        <v>9</v>
      </c>
      <c r="I311" t="s">
        <v>18</v>
      </c>
      <c r="J311" s="2">
        <v>45772</v>
      </c>
      <c r="K311" t="s">
        <v>1</v>
      </c>
      <c r="L311" t="s">
        <v>0</v>
      </c>
      <c r="M311" t="s">
        <v>16</v>
      </c>
    </row>
    <row r="312" spans="6:13" x14ac:dyDescent="0.25">
      <c r="F312" t="s">
        <v>113</v>
      </c>
      <c r="G312" t="s">
        <v>237</v>
      </c>
      <c r="H312">
        <v>29.7</v>
      </c>
      <c r="I312" t="s">
        <v>18</v>
      </c>
      <c r="J312" s="2">
        <v>45772</v>
      </c>
      <c r="K312" t="s">
        <v>1</v>
      </c>
      <c r="L312" t="s">
        <v>0</v>
      </c>
      <c r="M312" t="s">
        <v>16</v>
      </c>
    </row>
    <row r="313" spans="6:13" x14ac:dyDescent="0.25">
      <c r="F313" t="s">
        <v>113</v>
      </c>
      <c r="G313" t="s">
        <v>238</v>
      </c>
      <c r="H313">
        <v>4.7699999999999996</v>
      </c>
      <c r="I313" t="s">
        <v>18</v>
      </c>
      <c r="J313" s="2">
        <v>45772</v>
      </c>
      <c r="K313" t="s">
        <v>1</v>
      </c>
      <c r="L313" t="s">
        <v>0</v>
      </c>
      <c r="M313" t="s">
        <v>16</v>
      </c>
    </row>
    <row r="314" spans="6:13" x14ac:dyDescent="0.25">
      <c r="F314" t="s">
        <v>113</v>
      </c>
      <c r="G314" t="s">
        <v>222</v>
      </c>
      <c r="H314">
        <v>12</v>
      </c>
      <c r="I314" t="s">
        <v>18</v>
      </c>
      <c r="J314" s="2">
        <v>45773</v>
      </c>
      <c r="K314" t="s">
        <v>59</v>
      </c>
      <c r="L314" t="s">
        <v>0</v>
      </c>
      <c r="M314" t="s">
        <v>16</v>
      </c>
    </row>
    <row r="315" spans="6:13" x14ac:dyDescent="0.25">
      <c r="F315" t="s">
        <v>113</v>
      </c>
      <c r="G315" t="s">
        <v>239</v>
      </c>
      <c r="H315">
        <v>12.2</v>
      </c>
      <c r="I315" t="s">
        <v>18</v>
      </c>
      <c r="J315" s="2">
        <v>45773</v>
      </c>
      <c r="K315" t="s">
        <v>1</v>
      </c>
      <c r="L315" t="s">
        <v>0</v>
      </c>
      <c r="M315" t="s">
        <v>16</v>
      </c>
    </row>
    <row r="316" spans="6:13" x14ac:dyDescent="0.25">
      <c r="F316" t="s">
        <v>113</v>
      </c>
      <c r="G316" t="s">
        <v>240</v>
      </c>
      <c r="H316">
        <v>43.8</v>
      </c>
      <c r="I316" t="s">
        <v>18</v>
      </c>
      <c r="J316" s="2">
        <v>45773</v>
      </c>
      <c r="K316" t="s">
        <v>1</v>
      </c>
      <c r="L316" t="s">
        <v>0</v>
      </c>
      <c r="M316" t="s">
        <v>16</v>
      </c>
    </row>
    <row r="317" spans="6:13" x14ac:dyDescent="0.25">
      <c r="F317" t="s">
        <v>113</v>
      </c>
      <c r="G317" t="s">
        <v>241</v>
      </c>
      <c r="H317">
        <v>38</v>
      </c>
      <c r="I317" t="s">
        <v>18</v>
      </c>
      <c r="J317" s="2">
        <v>45773</v>
      </c>
      <c r="K317" t="s">
        <v>59</v>
      </c>
      <c r="L317" t="s">
        <v>0</v>
      </c>
      <c r="M317" t="s">
        <v>16</v>
      </c>
    </row>
    <row r="318" spans="6:13" x14ac:dyDescent="0.25">
      <c r="F318" t="s">
        <v>113</v>
      </c>
      <c r="G318" t="s">
        <v>238</v>
      </c>
      <c r="H318">
        <v>8.4600000000000009</v>
      </c>
      <c r="I318" t="s">
        <v>18</v>
      </c>
      <c r="J318" s="2">
        <v>45773</v>
      </c>
      <c r="K318" t="s">
        <v>1</v>
      </c>
      <c r="L318" t="s">
        <v>0</v>
      </c>
      <c r="M318" t="s">
        <v>16</v>
      </c>
    </row>
    <row r="319" spans="6:13" x14ac:dyDescent="0.25">
      <c r="F319" t="s">
        <v>113</v>
      </c>
      <c r="G319" t="s">
        <v>222</v>
      </c>
      <c r="H319">
        <v>24</v>
      </c>
      <c r="I319" t="s">
        <v>18</v>
      </c>
      <c r="J319" s="2">
        <v>45774</v>
      </c>
      <c r="K319" t="s">
        <v>1</v>
      </c>
      <c r="L319" t="s">
        <v>0</v>
      </c>
      <c r="M319" t="s">
        <v>16</v>
      </c>
    </row>
    <row r="320" spans="6:13" x14ac:dyDescent="0.25">
      <c r="F320" t="s">
        <v>113</v>
      </c>
      <c r="G320" t="s">
        <v>239</v>
      </c>
      <c r="H320">
        <v>14.45</v>
      </c>
      <c r="I320" t="s">
        <v>18</v>
      </c>
      <c r="J320" s="2">
        <v>45774</v>
      </c>
      <c r="K320" t="s">
        <v>1</v>
      </c>
      <c r="L320" t="s">
        <v>0</v>
      </c>
      <c r="M320" t="s">
        <v>16</v>
      </c>
    </row>
    <row r="321" spans="5:13" x14ac:dyDescent="0.25">
      <c r="F321" t="s">
        <v>113</v>
      </c>
      <c r="G321" t="s">
        <v>242</v>
      </c>
      <c r="H321">
        <v>37.99</v>
      </c>
      <c r="I321" t="s">
        <v>18</v>
      </c>
      <c r="J321" s="2">
        <v>45774</v>
      </c>
      <c r="K321" t="s">
        <v>0</v>
      </c>
      <c r="L321" t="s">
        <v>0</v>
      </c>
      <c r="M321" t="s">
        <v>16</v>
      </c>
    </row>
    <row r="322" spans="5:13" x14ac:dyDescent="0.25">
      <c r="F322" t="s">
        <v>113</v>
      </c>
      <c r="G322" t="s">
        <v>243</v>
      </c>
      <c r="H322">
        <v>10.6</v>
      </c>
      <c r="I322" t="s">
        <v>18</v>
      </c>
      <c r="J322" s="2">
        <v>45775</v>
      </c>
      <c r="K322" t="s">
        <v>1</v>
      </c>
      <c r="L322" t="s">
        <v>0</v>
      </c>
      <c r="M322" t="s">
        <v>16</v>
      </c>
    </row>
    <row r="323" spans="5:13" x14ac:dyDescent="0.25">
      <c r="F323" t="s">
        <v>113</v>
      </c>
      <c r="G323" t="s">
        <v>239</v>
      </c>
      <c r="H323">
        <v>12.2</v>
      </c>
      <c r="I323" t="s">
        <v>18</v>
      </c>
      <c r="J323" s="2">
        <v>45775</v>
      </c>
      <c r="K323" t="s">
        <v>1</v>
      </c>
      <c r="L323" t="s">
        <v>0</v>
      </c>
      <c r="M323" t="s">
        <v>16</v>
      </c>
    </row>
    <row r="324" spans="5:13" x14ac:dyDescent="0.25">
      <c r="F324" t="s">
        <v>113</v>
      </c>
      <c r="G324" t="s">
        <v>244</v>
      </c>
      <c r="H324">
        <v>5.94</v>
      </c>
      <c r="I324" t="s">
        <v>18</v>
      </c>
      <c r="J324" s="2">
        <v>45776</v>
      </c>
      <c r="K324" t="s">
        <v>1</v>
      </c>
      <c r="L324" t="s">
        <v>0</v>
      </c>
      <c r="M324" t="s">
        <v>16</v>
      </c>
    </row>
    <row r="325" spans="5:13" x14ac:dyDescent="0.25">
      <c r="F325" t="s">
        <v>113</v>
      </c>
      <c r="G325" t="s">
        <v>245</v>
      </c>
      <c r="H325">
        <v>10.6</v>
      </c>
      <c r="I325" t="s">
        <v>18</v>
      </c>
      <c r="J325" s="2">
        <v>45776</v>
      </c>
      <c r="K325" t="s">
        <v>0</v>
      </c>
      <c r="L325" t="s">
        <v>0</v>
      </c>
      <c r="M325" t="s">
        <v>16</v>
      </c>
    </row>
    <row r="326" spans="5:13" x14ac:dyDescent="0.25">
      <c r="F326" t="s">
        <v>113</v>
      </c>
      <c r="G326" t="s">
        <v>246</v>
      </c>
      <c r="H326">
        <v>12.4</v>
      </c>
      <c r="I326" t="s">
        <v>18</v>
      </c>
      <c r="J326" s="2">
        <v>45776</v>
      </c>
      <c r="K326" t="s">
        <v>1</v>
      </c>
      <c r="L326" t="s">
        <v>0</v>
      </c>
      <c r="M326" t="s">
        <v>16</v>
      </c>
    </row>
    <row r="327" spans="5:13" x14ac:dyDescent="0.25">
      <c r="F327" t="s">
        <v>113</v>
      </c>
      <c r="G327" t="s">
        <v>247</v>
      </c>
      <c r="H327">
        <v>9.01</v>
      </c>
      <c r="I327" t="s">
        <v>18</v>
      </c>
      <c r="J327" s="2">
        <v>45776</v>
      </c>
      <c r="K327" t="s">
        <v>1</v>
      </c>
      <c r="L327" t="s">
        <v>0</v>
      </c>
      <c r="M327" t="s">
        <v>16</v>
      </c>
    </row>
    <row r="328" spans="5:13" x14ac:dyDescent="0.25">
      <c r="F328" t="s">
        <v>113</v>
      </c>
      <c r="G328" t="s">
        <v>248</v>
      </c>
      <c r="H328">
        <v>12</v>
      </c>
      <c r="I328" t="s">
        <v>18</v>
      </c>
      <c r="J328" s="2">
        <v>45776</v>
      </c>
      <c r="K328" t="s">
        <v>1</v>
      </c>
      <c r="L328" t="s">
        <v>0</v>
      </c>
      <c r="M328" t="s">
        <v>16</v>
      </c>
    </row>
    <row r="329" spans="5:13" x14ac:dyDescent="0.25">
      <c r="E329" s="6" t="s">
        <v>249</v>
      </c>
      <c r="F329" t="s">
        <v>113</v>
      </c>
      <c r="G329" t="s">
        <v>250</v>
      </c>
      <c r="H329">
        <v>132.62</v>
      </c>
      <c r="I329" t="s">
        <v>18</v>
      </c>
      <c r="J329" s="2">
        <v>45776</v>
      </c>
      <c r="K329" t="s">
        <v>1</v>
      </c>
      <c r="L329" t="s">
        <v>59</v>
      </c>
      <c r="M329" t="s">
        <v>16</v>
      </c>
    </row>
    <row r="330" spans="5:13" x14ac:dyDescent="0.25">
      <c r="F330" t="s">
        <v>113</v>
      </c>
      <c r="G330" t="s">
        <v>251</v>
      </c>
      <c r="H330">
        <v>15.37</v>
      </c>
      <c r="I330" t="s">
        <v>18</v>
      </c>
      <c r="J330" s="2">
        <v>45776</v>
      </c>
      <c r="K330" t="s">
        <v>1</v>
      </c>
      <c r="L330" t="s">
        <v>0</v>
      </c>
      <c r="M330" t="s">
        <v>16</v>
      </c>
    </row>
    <row r="331" spans="5:13" x14ac:dyDescent="0.25">
      <c r="F331" t="s">
        <v>113</v>
      </c>
      <c r="G331" t="s">
        <v>252</v>
      </c>
      <c r="H331">
        <v>2.7</v>
      </c>
      <c r="I331" t="s">
        <v>18</v>
      </c>
      <c r="J331" s="2">
        <v>45777</v>
      </c>
      <c r="K331" t="s">
        <v>1</v>
      </c>
      <c r="L331" t="s">
        <v>0</v>
      </c>
      <c r="M331" t="s">
        <v>16</v>
      </c>
    </row>
    <row r="332" spans="5:13" x14ac:dyDescent="0.25">
      <c r="G332" t="s">
        <v>217</v>
      </c>
      <c r="H332">
        <v>45.67</v>
      </c>
      <c r="I332" t="s">
        <v>18</v>
      </c>
      <c r="J332" s="2">
        <v>45777</v>
      </c>
      <c r="K332" t="s">
        <v>1</v>
      </c>
      <c r="L332" t="s">
        <v>27</v>
      </c>
      <c r="M332" t="s">
        <v>16</v>
      </c>
    </row>
    <row r="333" spans="5:13" x14ac:dyDescent="0.25">
      <c r="G333" t="s">
        <v>130</v>
      </c>
      <c r="H333">
        <v>8.6</v>
      </c>
      <c r="I333" t="s">
        <v>18</v>
      </c>
      <c r="J333" s="2">
        <v>45778</v>
      </c>
      <c r="K333" t="s">
        <v>1</v>
      </c>
      <c r="L333" t="s">
        <v>0</v>
      </c>
      <c r="M333" t="s">
        <v>16</v>
      </c>
    </row>
    <row r="334" spans="5:13" x14ac:dyDescent="0.25">
      <c r="G334" t="s">
        <v>217</v>
      </c>
      <c r="H334">
        <v>7.4</v>
      </c>
      <c r="I334" t="s">
        <v>18</v>
      </c>
      <c r="J334" s="2">
        <v>45779</v>
      </c>
      <c r="K334" t="s">
        <v>1</v>
      </c>
      <c r="L334" t="s">
        <v>0</v>
      </c>
      <c r="M334" t="s">
        <v>16</v>
      </c>
    </row>
    <row r="335" spans="5:13" x14ac:dyDescent="0.25">
      <c r="G335" t="s">
        <v>217</v>
      </c>
      <c r="H335">
        <v>23.3</v>
      </c>
      <c r="I335" t="s">
        <v>18</v>
      </c>
      <c r="J335" s="2">
        <v>45779</v>
      </c>
      <c r="K335" t="s">
        <v>1</v>
      </c>
      <c r="L335" t="s">
        <v>0</v>
      </c>
      <c r="M335" t="s">
        <v>16</v>
      </c>
    </row>
    <row r="336" spans="5:13" x14ac:dyDescent="0.25">
      <c r="G336" t="s">
        <v>254</v>
      </c>
      <c r="H336">
        <v>7</v>
      </c>
      <c r="I336" t="s">
        <v>18</v>
      </c>
      <c r="J336" s="2">
        <v>45781</v>
      </c>
      <c r="K336" t="s">
        <v>1</v>
      </c>
      <c r="L336" t="s">
        <v>0</v>
      </c>
      <c r="M336" t="s">
        <v>16</v>
      </c>
    </row>
    <row r="337" spans="7:15" x14ac:dyDescent="0.25">
      <c r="G337" t="s">
        <v>254</v>
      </c>
      <c r="H337">
        <v>16</v>
      </c>
      <c r="I337" t="s">
        <v>18</v>
      </c>
      <c r="J337" s="2">
        <v>45781</v>
      </c>
      <c r="K337" t="s">
        <v>1</v>
      </c>
      <c r="L337" t="s">
        <v>0</v>
      </c>
      <c r="M337" t="s">
        <v>16</v>
      </c>
    </row>
    <row r="338" spans="7:15" x14ac:dyDescent="0.25">
      <c r="G338" t="s">
        <v>255</v>
      </c>
      <c r="H338">
        <v>31.2</v>
      </c>
      <c r="I338" t="s">
        <v>18</v>
      </c>
      <c r="J338" s="2">
        <v>45781</v>
      </c>
      <c r="K338" t="s">
        <v>1</v>
      </c>
      <c r="L338" t="s">
        <v>0</v>
      </c>
      <c r="M338" t="s">
        <v>16</v>
      </c>
    </row>
    <row r="339" spans="7:15" x14ac:dyDescent="0.25">
      <c r="G339" t="s">
        <v>256</v>
      </c>
      <c r="H339">
        <v>7.2</v>
      </c>
      <c r="I339" t="s">
        <v>18</v>
      </c>
      <c r="J339" s="2">
        <v>45782</v>
      </c>
      <c r="K339" t="s">
        <v>1</v>
      </c>
      <c r="L339" t="s">
        <v>0</v>
      </c>
      <c r="M339" t="s">
        <v>16</v>
      </c>
    </row>
    <row r="340" spans="7:15" x14ac:dyDescent="0.25">
      <c r="G340" t="s">
        <v>256</v>
      </c>
      <c r="H340">
        <v>5.2</v>
      </c>
      <c r="I340" t="s">
        <v>18</v>
      </c>
      <c r="J340" s="2">
        <v>45783</v>
      </c>
      <c r="K340" t="s">
        <v>0</v>
      </c>
      <c r="L340" t="s">
        <v>0</v>
      </c>
      <c r="M340" t="s">
        <v>16</v>
      </c>
    </row>
    <row r="341" spans="7:15" x14ac:dyDescent="0.25">
      <c r="G341" t="s">
        <v>257</v>
      </c>
      <c r="H341">
        <v>8.6</v>
      </c>
      <c r="I341" t="s">
        <v>18</v>
      </c>
      <c r="J341" s="2">
        <v>45783</v>
      </c>
      <c r="K341" t="s">
        <v>1</v>
      </c>
      <c r="L341" t="s">
        <v>0</v>
      </c>
      <c r="M341" t="s">
        <v>16</v>
      </c>
    </row>
    <row r="342" spans="7:15" x14ac:dyDescent="0.25">
      <c r="G342" t="s">
        <v>257</v>
      </c>
      <c r="H342">
        <v>13.4</v>
      </c>
      <c r="I342" t="s">
        <v>18</v>
      </c>
      <c r="J342" s="2">
        <v>45783</v>
      </c>
      <c r="K342" t="s">
        <v>0</v>
      </c>
      <c r="L342" t="s">
        <v>0</v>
      </c>
      <c r="M342" t="s">
        <v>16</v>
      </c>
    </row>
    <row r="343" spans="7:15" x14ac:dyDescent="0.25">
      <c r="G343" t="s">
        <v>257</v>
      </c>
      <c r="H343">
        <v>5.75</v>
      </c>
      <c r="I343" t="s">
        <v>18</v>
      </c>
      <c r="J343" s="2">
        <v>45783</v>
      </c>
      <c r="K343" t="s">
        <v>0</v>
      </c>
      <c r="L343" t="s">
        <v>0</v>
      </c>
      <c r="M343" t="s">
        <v>16</v>
      </c>
      <c r="N343" t="s">
        <v>59</v>
      </c>
      <c r="O343" t="s">
        <v>27</v>
      </c>
    </row>
    <row r="344" spans="7:15" x14ac:dyDescent="0.25">
      <c r="G344" t="s">
        <v>217</v>
      </c>
      <c r="H344">
        <v>23.31</v>
      </c>
      <c r="I344" t="s">
        <v>18</v>
      </c>
      <c r="J344" s="2">
        <v>45782</v>
      </c>
      <c r="K344" t="s">
        <v>1</v>
      </c>
      <c r="L344" t="s">
        <v>27</v>
      </c>
      <c r="M344" t="s">
        <v>16</v>
      </c>
      <c r="N344">
        <f>SUM(H333:H339)+H341</f>
        <v>109.3</v>
      </c>
      <c r="O344">
        <f>SUM(H344:H346)+H347+H348</f>
        <v>102.14</v>
      </c>
    </row>
    <row r="345" spans="7:15" x14ac:dyDescent="0.25">
      <c r="G345" t="s">
        <v>217</v>
      </c>
      <c r="H345">
        <v>17.89</v>
      </c>
      <c r="I345" t="s">
        <v>18</v>
      </c>
      <c r="J345" s="2">
        <v>45780</v>
      </c>
      <c r="K345" t="s">
        <v>1</v>
      </c>
      <c r="L345" t="s">
        <v>27</v>
      </c>
      <c r="M345" t="s">
        <v>16</v>
      </c>
      <c r="N345">
        <f>N344/2</f>
        <v>54.65</v>
      </c>
      <c r="O345">
        <f>O344/2</f>
        <v>51.07</v>
      </c>
    </row>
    <row r="346" spans="7:15" x14ac:dyDescent="0.25">
      <c r="G346" t="s">
        <v>217</v>
      </c>
      <c r="H346">
        <v>4.9400000000000004</v>
      </c>
      <c r="I346" t="s">
        <v>18</v>
      </c>
      <c r="J346" s="2">
        <v>45779</v>
      </c>
      <c r="K346" t="s">
        <v>1</v>
      </c>
      <c r="L346" t="s">
        <v>27</v>
      </c>
      <c r="M346" t="s">
        <v>16</v>
      </c>
      <c r="O346">
        <f>N345-O345</f>
        <v>3.5799999999999983</v>
      </c>
    </row>
    <row r="347" spans="7:15" x14ac:dyDescent="0.25">
      <c r="G347" t="s">
        <v>258</v>
      </c>
      <c r="H347">
        <v>30</v>
      </c>
      <c r="I347" t="s">
        <v>18</v>
      </c>
      <c r="J347" s="2">
        <v>45782</v>
      </c>
      <c r="K347" t="s">
        <v>1</v>
      </c>
      <c r="L347" t="s">
        <v>27</v>
      </c>
      <c r="M347" t="s">
        <v>16</v>
      </c>
    </row>
    <row r="348" spans="7:15" x14ac:dyDescent="0.25">
      <c r="G348" t="s">
        <v>259</v>
      </c>
      <c r="H348">
        <v>26</v>
      </c>
      <c r="I348" t="s">
        <v>18</v>
      </c>
      <c r="J348" s="2">
        <v>45781</v>
      </c>
      <c r="K348" t="s">
        <v>1</v>
      </c>
      <c r="L348" t="s">
        <v>27</v>
      </c>
      <c r="M348" t="s">
        <v>16</v>
      </c>
    </row>
  </sheetData>
  <autoFilter ref="D1:O126" xr:uid="{9BD7964E-F25B-4442-A5A3-EDD213E693F8}"/>
  <pageMargins left="0.511811024" right="0.511811024" top="0.78740157499999996" bottom="0.78740157499999996" header="0.31496062000000002" footer="0.31496062000000002"/>
  <ignoredErrors>
    <ignoredError sqref="B1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BDD3-6BE9-4B51-A7EB-B202C7A236C2}">
  <dimension ref="B1:L53"/>
  <sheetViews>
    <sheetView workbookViewId="0">
      <selection activeCell="L7" sqref="L7"/>
    </sheetView>
  </sheetViews>
  <sheetFormatPr defaultRowHeight="15" x14ac:dyDescent="0.25"/>
  <cols>
    <col min="2" max="2" width="26.28515625" bestFit="1" customWidth="1"/>
    <col min="3" max="3" width="6" bestFit="1" customWidth="1"/>
    <col min="4" max="4" width="11.42578125" bestFit="1" customWidth="1"/>
    <col min="9" max="9" width="18.42578125" bestFit="1" customWidth="1"/>
    <col min="10" max="10" width="13.7109375" bestFit="1" customWidth="1"/>
  </cols>
  <sheetData>
    <row r="1" spans="2:12" x14ac:dyDescent="0.25">
      <c r="B1" t="s">
        <v>184</v>
      </c>
      <c r="C1" t="s">
        <v>185</v>
      </c>
      <c r="D1" t="s">
        <v>186</v>
      </c>
    </row>
    <row r="2" spans="2:12" x14ac:dyDescent="0.25">
      <c r="B2" t="s">
        <v>139</v>
      </c>
      <c r="C2">
        <v>44</v>
      </c>
      <c r="D2" s="2">
        <v>45751</v>
      </c>
    </row>
    <row r="3" spans="2:12" x14ac:dyDescent="0.25">
      <c r="B3" t="s">
        <v>140</v>
      </c>
      <c r="C3">
        <v>59.6</v>
      </c>
      <c r="D3" s="2">
        <v>45752</v>
      </c>
      <c r="I3" s="3" t="s">
        <v>187</v>
      </c>
      <c r="J3" t="s">
        <v>190</v>
      </c>
    </row>
    <row r="4" spans="2:12" x14ac:dyDescent="0.25">
      <c r="B4" t="s">
        <v>141</v>
      </c>
      <c r="C4">
        <v>26.6</v>
      </c>
      <c r="D4" s="2">
        <v>45757</v>
      </c>
      <c r="I4" s="5">
        <v>45751</v>
      </c>
      <c r="J4">
        <v>44</v>
      </c>
    </row>
    <row r="5" spans="2:12" x14ac:dyDescent="0.25">
      <c r="B5" t="s">
        <v>144</v>
      </c>
      <c r="C5">
        <v>7</v>
      </c>
      <c r="D5" s="2">
        <v>45753</v>
      </c>
      <c r="I5" s="5">
        <v>45752</v>
      </c>
      <c r="J5">
        <v>67.599999999999994</v>
      </c>
    </row>
    <row r="6" spans="2:12" x14ac:dyDescent="0.25">
      <c r="B6" t="s">
        <v>145</v>
      </c>
      <c r="C6">
        <v>13</v>
      </c>
      <c r="D6" s="2">
        <v>45753</v>
      </c>
      <c r="I6" s="5">
        <v>45753</v>
      </c>
      <c r="J6">
        <v>56.4</v>
      </c>
      <c r="L6">
        <f>31*13</f>
        <v>403</v>
      </c>
    </row>
    <row r="7" spans="2:12" x14ac:dyDescent="0.25">
      <c r="B7" t="s">
        <v>148</v>
      </c>
      <c r="C7">
        <v>9</v>
      </c>
      <c r="D7" s="2">
        <v>45753</v>
      </c>
      <c r="I7" s="5">
        <v>45754</v>
      </c>
      <c r="J7">
        <v>51.32</v>
      </c>
    </row>
    <row r="8" spans="2:12" x14ac:dyDescent="0.25">
      <c r="B8" t="s">
        <v>146</v>
      </c>
      <c r="C8">
        <v>16</v>
      </c>
      <c r="D8" s="2">
        <v>45753</v>
      </c>
      <c r="I8" s="5">
        <v>45755</v>
      </c>
      <c r="J8">
        <v>35.32</v>
      </c>
    </row>
    <row r="9" spans="2:12" x14ac:dyDescent="0.25">
      <c r="B9" t="s">
        <v>148</v>
      </c>
      <c r="C9">
        <v>11.4</v>
      </c>
      <c r="D9" s="2">
        <v>45753</v>
      </c>
      <c r="I9" s="5">
        <v>45756</v>
      </c>
      <c r="J9">
        <v>90.22</v>
      </c>
    </row>
    <row r="10" spans="2:12" x14ac:dyDescent="0.25">
      <c r="B10" t="s">
        <v>149</v>
      </c>
      <c r="C10">
        <v>26</v>
      </c>
      <c r="D10" s="2">
        <v>45754</v>
      </c>
      <c r="I10" s="5">
        <v>45757</v>
      </c>
      <c r="J10">
        <v>56.65</v>
      </c>
    </row>
    <row r="11" spans="2:12" x14ac:dyDescent="0.25">
      <c r="B11" t="s">
        <v>150</v>
      </c>
      <c r="C11">
        <v>16</v>
      </c>
      <c r="D11" s="2">
        <v>45754</v>
      </c>
      <c r="I11" s="5">
        <v>45758</v>
      </c>
      <c r="J11">
        <v>100.02</v>
      </c>
    </row>
    <row r="12" spans="2:12" x14ac:dyDescent="0.25">
      <c r="B12" t="s">
        <v>147</v>
      </c>
      <c r="C12">
        <v>6.32</v>
      </c>
      <c r="D12" s="2">
        <v>45754</v>
      </c>
      <c r="I12" s="5">
        <v>45759</v>
      </c>
      <c r="J12">
        <v>45.02</v>
      </c>
    </row>
    <row r="13" spans="2:12" x14ac:dyDescent="0.25">
      <c r="B13" t="s">
        <v>151</v>
      </c>
      <c r="C13">
        <v>15</v>
      </c>
      <c r="D13" s="2">
        <v>45755</v>
      </c>
      <c r="I13" s="5">
        <v>45760</v>
      </c>
      <c r="J13">
        <v>86.899999999999991</v>
      </c>
    </row>
    <row r="14" spans="2:12" x14ac:dyDescent="0.25">
      <c r="B14" t="s">
        <v>158</v>
      </c>
      <c r="C14">
        <v>4.4000000000000004</v>
      </c>
      <c r="D14" s="2">
        <v>45755</v>
      </c>
      <c r="I14" s="5">
        <v>45761</v>
      </c>
      <c r="J14">
        <v>64.12</v>
      </c>
    </row>
    <row r="15" spans="2:12" x14ac:dyDescent="0.25">
      <c r="B15" t="s">
        <v>152</v>
      </c>
      <c r="C15">
        <v>12.92</v>
      </c>
      <c r="D15" s="2">
        <v>45755</v>
      </c>
      <c r="I15" s="5">
        <v>45762</v>
      </c>
      <c r="J15">
        <v>60.919999999999995</v>
      </c>
    </row>
    <row r="16" spans="2:12" x14ac:dyDescent="0.25">
      <c r="B16" t="s">
        <v>153</v>
      </c>
      <c r="C16">
        <v>20</v>
      </c>
      <c r="D16" s="2">
        <v>45756</v>
      </c>
      <c r="I16" s="4" t="s">
        <v>188</v>
      </c>
    </row>
    <row r="17" spans="2:10" x14ac:dyDescent="0.25">
      <c r="B17" t="s">
        <v>154</v>
      </c>
      <c r="C17">
        <v>8</v>
      </c>
      <c r="D17" s="2">
        <v>45752</v>
      </c>
      <c r="I17" s="4" t="s">
        <v>189</v>
      </c>
      <c r="J17">
        <v>758.4899999999999</v>
      </c>
    </row>
    <row r="18" spans="2:10" x14ac:dyDescent="0.25">
      <c r="B18" t="s">
        <v>155</v>
      </c>
      <c r="C18">
        <v>20</v>
      </c>
      <c r="D18" s="2">
        <v>45756</v>
      </c>
    </row>
    <row r="19" spans="2:10" x14ac:dyDescent="0.25">
      <c r="B19" t="s">
        <v>156</v>
      </c>
      <c r="C19">
        <v>3</v>
      </c>
      <c r="D19" s="2">
        <v>45755</v>
      </c>
    </row>
    <row r="20" spans="2:10" x14ac:dyDescent="0.25">
      <c r="B20" t="s">
        <v>158</v>
      </c>
      <c r="C20">
        <v>4.4000000000000004</v>
      </c>
      <c r="D20" s="2">
        <v>45756</v>
      </c>
    </row>
    <row r="21" spans="2:10" x14ac:dyDescent="0.25">
      <c r="B21" t="s">
        <v>157</v>
      </c>
      <c r="C21">
        <v>24.23</v>
      </c>
      <c r="D21" s="2">
        <v>45756</v>
      </c>
    </row>
    <row r="22" spans="2:10" x14ac:dyDescent="0.25">
      <c r="B22" t="s">
        <v>158</v>
      </c>
      <c r="C22">
        <v>4.4000000000000004</v>
      </c>
      <c r="D22" s="2">
        <v>45756</v>
      </c>
    </row>
    <row r="23" spans="2:10" x14ac:dyDescent="0.25">
      <c r="B23" t="s">
        <v>159</v>
      </c>
      <c r="C23">
        <v>5.19</v>
      </c>
      <c r="D23" s="2">
        <v>45756</v>
      </c>
    </row>
    <row r="24" spans="2:10" x14ac:dyDescent="0.25">
      <c r="B24" t="s">
        <v>161</v>
      </c>
      <c r="C24">
        <v>4.4000000000000004</v>
      </c>
      <c r="D24" s="2">
        <v>45757</v>
      </c>
    </row>
    <row r="25" spans="2:10" x14ac:dyDescent="0.25">
      <c r="B25" t="s">
        <v>160</v>
      </c>
      <c r="C25">
        <v>8.8000000000000007</v>
      </c>
      <c r="D25" s="2">
        <v>45757</v>
      </c>
    </row>
    <row r="26" spans="2:10" x14ac:dyDescent="0.25">
      <c r="B26" t="s">
        <v>162</v>
      </c>
      <c r="C26">
        <v>16.850000000000001</v>
      </c>
      <c r="D26" s="2">
        <v>45757</v>
      </c>
    </row>
    <row r="27" spans="2:10" x14ac:dyDescent="0.25">
      <c r="B27" t="s">
        <v>163</v>
      </c>
      <c r="C27">
        <v>9.6</v>
      </c>
      <c r="D27" s="2">
        <v>45758</v>
      </c>
    </row>
    <row r="28" spans="2:10" x14ac:dyDescent="0.25">
      <c r="B28" t="s">
        <v>164</v>
      </c>
      <c r="C28">
        <v>5.8</v>
      </c>
      <c r="D28" s="2">
        <v>45758</v>
      </c>
    </row>
    <row r="29" spans="2:10" x14ac:dyDescent="0.25">
      <c r="B29" t="s">
        <v>165</v>
      </c>
      <c r="C29">
        <v>16</v>
      </c>
      <c r="D29" s="2">
        <v>45758</v>
      </c>
    </row>
    <row r="30" spans="2:10" x14ac:dyDescent="0.25">
      <c r="B30" t="s">
        <v>166</v>
      </c>
      <c r="C30">
        <v>8.4</v>
      </c>
      <c r="D30" s="2">
        <v>45758</v>
      </c>
    </row>
    <row r="31" spans="2:10" x14ac:dyDescent="0.25">
      <c r="B31" t="s">
        <v>167</v>
      </c>
      <c r="C31">
        <v>46</v>
      </c>
      <c r="D31" s="2">
        <v>45758</v>
      </c>
    </row>
    <row r="32" spans="2:10" x14ac:dyDescent="0.25">
      <c r="B32" t="s">
        <v>168</v>
      </c>
      <c r="C32">
        <v>14.22</v>
      </c>
      <c r="D32" s="2">
        <v>45758</v>
      </c>
    </row>
    <row r="33" spans="2:4" x14ac:dyDescent="0.25">
      <c r="B33" t="s">
        <v>169</v>
      </c>
      <c r="C33">
        <v>8</v>
      </c>
      <c r="D33" s="2">
        <v>45756</v>
      </c>
    </row>
    <row r="34" spans="2:4" x14ac:dyDescent="0.25">
      <c r="B34" t="s">
        <v>170</v>
      </c>
      <c r="C34">
        <v>4</v>
      </c>
      <c r="D34" s="2">
        <v>45756</v>
      </c>
    </row>
    <row r="35" spans="2:4" x14ac:dyDescent="0.25">
      <c r="B35" t="s">
        <v>171</v>
      </c>
      <c r="C35">
        <v>3</v>
      </c>
      <c r="D35" s="2">
        <v>45754</v>
      </c>
    </row>
    <row r="36" spans="2:4" x14ac:dyDescent="0.25">
      <c r="B36" t="s">
        <v>172</v>
      </c>
      <c r="C36">
        <v>14.95</v>
      </c>
      <c r="D36" s="2">
        <v>45759</v>
      </c>
    </row>
    <row r="37" spans="2:4" x14ac:dyDescent="0.25">
      <c r="B37" t="s">
        <v>173</v>
      </c>
      <c r="C37">
        <v>7</v>
      </c>
      <c r="D37" s="2">
        <v>45759</v>
      </c>
    </row>
    <row r="38" spans="2:4" x14ac:dyDescent="0.25">
      <c r="B38" t="s">
        <v>173</v>
      </c>
      <c r="C38">
        <v>13.47</v>
      </c>
      <c r="D38" s="2">
        <v>45759</v>
      </c>
    </row>
    <row r="39" spans="2:4" x14ac:dyDescent="0.25">
      <c r="B39" t="s">
        <v>163</v>
      </c>
      <c r="C39">
        <v>9.6</v>
      </c>
      <c r="D39" s="2">
        <v>45759</v>
      </c>
    </row>
    <row r="40" spans="2:4" x14ac:dyDescent="0.25">
      <c r="B40" t="s">
        <v>174</v>
      </c>
      <c r="C40">
        <v>36</v>
      </c>
      <c r="D40" s="2">
        <v>45760</v>
      </c>
    </row>
    <row r="41" spans="2:4" x14ac:dyDescent="0.25">
      <c r="B41" t="s">
        <v>175</v>
      </c>
      <c r="C41">
        <v>4.9000000000000004</v>
      </c>
      <c r="D41" s="2">
        <v>45760</v>
      </c>
    </row>
    <row r="42" spans="2:4" x14ac:dyDescent="0.25">
      <c r="B42" t="s">
        <v>176</v>
      </c>
      <c r="C42">
        <v>20</v>
      </c>
      <c r="D42" s="2">
        <v>45760</v>
      </c>
    </row>
    <row r="43" spans="2:4" x14ac:dyDescent="0.25">
      <c r="B43" t="s">
        <v>177</v>
      </c>
      <c r="C43">
        <v>10.199999999999999</v>
      </c>
      <c r="D43" s="2">
        <v>45760</v>
      </c>
    </row>
    <row r="44" spans="2:4" x14ac:dyDescent="0.25">
      <c r="B44" t="s">
        <v>177</v>
      </c>
      <c r="C44">
        <v>7.5</v>
      </c>
      <c r="D44" s="2">
        <v>45760</v>
      </c>
    </row>
    <row r="45" spans="2:4" x14ac:dyDescent="0.25">
      <c r="B45" t="s">
        <v>178</v>
      </c>
      <c r="C45">
        <v>8.3000000000000007</v>
      </c>
      <c r="D45" s="2">
        <v>45760</v>
      </c>
    </row>
    <row r="46" spans="2:4" x14ac:dyDescent="0.25">
      <c r="B46" t="s">
        <v>172</v>
      </c>
      <c r="C46">
        <v>13.7</v>
      </c>
      <c r="D46" s="2">
        <v>45761</v>
      </c>
    </row>
    <row r="47" spans="2:4" x14ac:dyDescent="0.25">
      <c r="B47" t="s">
        <v>173</v>
      </c>
      <c r="C47">
        <v>8.15</v>
      </c>
      <c r="D47" s="2">
        <v>45761</v>
      </c>
    </row>
    <row r="48" spans="2:4" x14ac:dyDescent="0.25">
      <c r="B48" t="s">
        <v>179</v>
      </c>
      <c r="C48">
        <v>13.6</v>
      </c>
      <c r="D48" s="2">
        <v>45761</v>
      </c>
    </row>
    <row r="49" spans="2:4" x14ac:dyDescent="0.25">
      <c r="B49" t="s">
        <v>180</v>
      </c>
      <c r="C49">
        <v>22.23</v>
      </c>
      <c r="D49" s="2">
        <v>45762</v>
      </c>
    </row>
    <row r="50" spans="2:4" x14ac:dyDescent="0.25">
      <c r="B50" t="s">
        <v>181</v>
      </c>
      <c r="C50">
        <v>9.6</v>
      </c>
      <c r="D50" s="2">
        <v>45762</v>
      </c>
    </row>
    <row r="51" spans="2:4" x14ac:dyDescent="0.25">
      <c r="B51" t="s">
        <v>103</v>
      </c>
      <c r="C51">
        <v>19.88</v>
      </c>
      <c r="D51" s="2">
        <v>45762</v>
      </c>
    </row>
    <row r="52" spans="2:4" x14ac:dyDescent="0.25">
      <c r="B52" t="s">
        <v>182</v>
      </c>
      <c r="C52">
        <v>28.67</v>
      </c>
      <c r="D52" s="2">
        <v>45761</v>
      </c>
    </row>
    <row r="53" spans="2:4" x14ac:dyDescent="0.25">
      <c r="B53" t="s">
        <v>183</v>
      </c>
      <c r="C53">
        <v>9.2100000000000009</v>
      </c>
      <c r="D53" s="2">
        <v>45762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13AF8-4031-40EE-9896-CDFA646B0005}">
  <dimension ref="A1:I348"/>
  <sheetViews>
    <sheetView tabSelected="1" zoomScaleNormal="100" workbookViewId="0">
      <selection activeCell="D17" sqref="D17"/>
    </sheetView>
  </sheetViews>
  <sheetFormatPr defaultRowHeight="15" x14ac:dyDescent="0.25"/>
  <cols>
    <col min="1" max="1" width="24.28515625" bestFit="1" customWidth="1"/>
    <col min="2" max="2" width="17.85546875" bestFit="1" customWidth="1"/>
    <col min="4" max="4" width="10.42578125" bestFit="1" customWidth="1"/>
    <col min="5" max="5" width="10.42578125" style="7" bestFit="1" customWidth="1"/>
    <col min="6" max="6" width="12.140625" bestFit="1" customWidth="1"/>
    <col min="7" max="7" width="12.28515625" bestFit="1" customWidth="1"/>
    <col min="9" max="9" width="10.42578125" bestFit="1" customWidth="1"/>
  </cols>
  <sheetData>
    <row r="1" spans="1:9" x14ac:dyDescent="0.25">
      <c r="A1" t="s">
        <v>113</v>
      </c>
      <c r="B1" t="s">
        <v>6</v>
      </c>
      <c r="C1" t="s">
        <v>7</v>
      </c>
      <c r="D1" t="s">
        <v>8</v>
      </c>
      <c r="E1" s="7" t="s">
        <v>5</v>
      </c>
      <c r="F1" t="s">
        <v>9</v>
      </c>
      <c r="G1" t="s">
        <v>10</v>
      </c>
      <c r="H1" t="s">
        <v>11</v>
      </c>
      <c r="I1" t="s">
        <v>260</v>
      </c>
    </row>
    <row r="2" spans="1:9" x14ac:dyDescent="0.25">
      <c r="B2" t="s">
        <v>13</v>
      </c>
      <c r="C2">
        <v>5251.94</v>
      </c>
      <c r="D2" t="s">
        <v>14</v>
      </c>
      <c r="E2" s="7" t="s">
        <v>15</v>
      </c>
      <c r="F2" t="s">
        <v>0</v>
      </c>
      <c r="G2" t="s">
        <v>0</v>
      </c>
      <c r="H2" t="s">
        <v>16</v>
      </c>
      <c r="I2" t="str">
        <f>TEXT(E2,"dd/mm/aaaa")</f>
        <v>21/09/2024</v>
      </c>
    </row>
    <row r="3" spans="1:9" x14ac:dyDescent="0.25">
      <c r="B3" t="s">
        <v>17</v>
      </c>
      <c r="C3">
        <v>282.58</v>
      </c>
      <c r="D3" t="s">
        <v>18</v>
      </c>
      <c r="E3" s="7">
        <v>45495</v>
      </c>
      <c r="F3" t="s">
        <v>0</v>
      </c>
      <c r="G3" t="s">
        <v>0</v>
      </c>
      <c r="H3" t="s">
        <v>16</v>
      </c>
      <c r="I3" t="str">
        <f t="shared" ref="I3:I66" si="0">TEXT(E3,"dd/mm/aaaa")</f>
        <v>22/07/2024</v>
      </c>
    </row>
    <row r="4" spans="1:9" x14ac:dyDescent="0.25">
      <c r="B4" t="s">
        <v>20</v>
      </c>
      <c r="C4">
        <v>193.1</v>
      </c>
      <c r="D4" t="s">
        <v>18</v>
      </c>
      <c r="E4" s="7">
        <v>45597</v>
      </c>
      <c r="F4" t="s">
        <v>1</v>
      </c>
      <c r="G4" t="s">
        <v>0</v>
      </c>
      <c r="H4" t="s">
        <v>16</v>
      </c>
      <c r="I4" t="str">
        <f t="shared" si="0"/>
        <v>01/11/2024</v>
      </c>
    </row>
    <row r="5" spans="1:9" x14ac:dyDescent="0.25">
      <c r="B5" t="s">
        <v>21</v>
      </c>
      <c r="C5">
        <v>23.18</v>
      </c>
      <c r="D5" t="s">
        <v>18</v>
      </c>
      <c r="E5" s="7">
        <v>45599</v>
      </c>
      <c r="F5" t="s">
        <v>1</v>
      </c>
      <c r="G5" t="s">
        <v>0</v>
      </c>
      <c r="H5" t="s">
        <v>16</v>
      </c>
      <c r="I5" t="str">
        <f t="shared" si="0"/>
        <v>03/11/2024</v>
      </c>
    </row>
    <row r="6" spans="1:9" x14ac:dyDescent="0.25">
      <c r="B6" t="s">
        <v>21</v>
      </c>
      <c r="C6">
        <v>60.61</v>
      </c>
      <c r="D6" t="s">
        <v>18</v>
      </c>
      <c r="E6" s="7">
        <v>45600</v>
      </c>
      <c r="F6" t="s">
        <v>1</v>
      </c>
      <c r="G6" t="s">
        <v>0</v>
      </c>
      <c r="H6" t="s">
        <v>16</v>
      </c>
      <c r="I6" t="str">
        <f t="shared" si="0"/>
        <v>04/11/2024</v>
      </c>
    </row>
    <row r="7" spans="1:9" x14ac:dyDescent="0.25">
      <c r="B7" t="s">
        <v>22</v>
      </c>
      <c r="C7">
        <v>700</v>
      </c>
      <c r="D7" t="s">
        <v>18</v>
      </c>
      <c r="E7" s="7">
        <v>45601</v>
      </c>
      <c r="F7" t="s">
        <v>0</v>
      </c>
      <c r="G7" t="s">
        <v>0</v>
      </c>
      <c r="H7" t="s">
        <v>16</v>
      </c>
      <c r="I7" t="str">
        <f t="shared" si="0"/>
        <v>05/11/2024</v>
      </c>
    </row>
    <row r="8" spans="1:9" x14ac:dyDescent="0.25">
      <c r="B8" t="s">
        <v>21</v>
      </c>
      <c r="C8">
        <v>15.08</v>
      </c>
      <c r="D8" t="s">
        <v>18</v>
      </c>
      <c r="E8" s="7">
        <v>45603</v>
      </c>
      <c r="F8" t="s">
        <v>1</v>
      </c>
      <c r="G8" t="s">
        <v>0</v>
      </c>
      <c r="H8" t="s">
        <v>16</v>
      </c>
      <c r="I8" t="str">
        <f t="shared" si="0"/>
        <v>07/11/2024</v>
      </c>
    </row>
    <row r="9" spans="1:9" x14ac:dyDescent="0.25">
      <c r="B9" t="s">
        <v>30</v>
      </c>
      <c r="C9">
        <v>10</v>
      </c>
      <c r="D9" t="s">
        <v>18</v>
      </c>
      <c r="E9" s="7">
        <v>45604</v>
      </c>
      <c r="F9" t="s">
        <v>0</v>
      </c>
      <c r="G9" t="s">
        <v>0</v>
      </c>
      <c r="H9" t="s">
        <v>16</v>
      </c>
      <c r="I9" t="str">
        <f t="shared" si="0"/>
        <v>08/11/2024</v>
      </c>
    </row>
    <row r="10" spans="1:9" x14ac:dyDescent="0.25">
      <c r="B10" t="s">
        <v>26</v>
      </c>
      <c r="C10">
        <v>12</v>
      </c>
      <c r="D10" t="s">
        <v>18</v>
      </c>
      <c r="E10" s="7">
        <v>45602</v>
      </c>
      <c r="F10" t="s">
        <v>1</v>
      </c>
      <c r="G10" t="s">
        <v>27</v>
      </c>
      <c r="H10" t="s">
        <v>16</v>
      </c>
      <c r="I10" t="str">
        <f t="shared" si="0"/>
        <v>06/11/2024</v>
      </c>
    </row>
    <row r="11" spans="1:9" x14ac:dyDescent="0.25">
      <c r="B11" t="s">
        <v>21</v>
      </c>
      <c r="C11">
        <v>14.01</v>
      </c>
      <c r="D11" t="s">
        <v>18</v>
      </c>
      <c r="E11" s="7">
        <v>45601</v>
      </c>
      <c r="F11" t="s">
        <v>1</v>
      </c>
      <c r="G11" t="s">
        <v>27</v>
      </c>
      <c r="H11" t="s">
        <v>16</v>
      </c>
      <c r="I11" t="str">
        <f t="shared" si="0"/>
        <v>05/11/2024</v>
      </c>
    </row>
    <row r="12" spans="1:9" x14ac:dyDescent="0.25">
      <c r="B12" t="s">
        <v>30</v>
      </c>
      <c r="C12">
        <v>7.5</v>
      </c>
      <c r="D12" t="s">
        <v>18</v>
      </c>
      <c r="E12" s="7">
        <v>45601</v>
      </c>
      <c r="F12" t="s">
        <v>0</v>
      </c>
      <c r="G12" t="s">
        <v>27</v>
      </c>
      <c r="H12" t="s">
        <v>16</v>
      </c>
      <c r="I12" t="str">
        <f t="shared" si="0"/>
        <v>05/11/2024</v>
      </c>
    </row>
    <row r="13" spans="1:9" x14ac:dyDescent="0.25">
      <c r="B13" t="s">
        <v>32</v>
      </c>
      <c r="C13">
        <v>28.5</v>
      </c>
      <c r="D13" t="s">
        <v>18</v>
      </c>
      <c r="E13" s="7">
        <v>45599</v>
      </c>
      <c r="F13" t="s">
        <v>1</v>
      </c>
      <c r="G13" t="s">
        <v>27</v>
      </c>
      <c r="H13" t="s">
        <v>16</v>
      </c>
      <c r="I13" t="str">
        <f t="shared" si="0"/>
        <v>03/11/2024</v>
      </c>
    </row>
    <row r="14" spans="1:9" x14ac:dyDescent="0.25">
      <c r="B14" t="s">
        <v>21</v>
      </c>
      <c r="C14">
        <v>5.48</v>
      </c>
      <c r="D14" t="s">
        <v>18</v>
      </c>
      <c r="E14" s="7">
        <v>45605</v>
      </c>
      <c r="F14" t="s">
        <v>1</v>
      </c>
      <c r="G14" t="s">
        <v>27</v>
      </c>
      <c r="H14" t="s">
        <v>16</v>
      </c>
      <c r="I14" t="str">
        <f t="shared" si="0"/>
        <v>09/11/2024</v>
      </c>
    </row>
    <row r="15" spans="1:9" x14ac:dyDescent="0.25">
      <c r="B15" t="s">
        <v>34</v>
      </c>
      <c r="C15">
        <v>5</v>
      </c>
      <c r="D15" t="s">
        <v>18</v>
      </c>
      <c r="E15" s="7">
        <v>45603</v>
      </c>
      <c r="F15" t="s">
        <v>1</v>
      </c>
      <c r="G15" t="s">
        <v>27</v>
      </c>
      <c r="H15" t="s">
        <v>16</v>
      </c>
      <c r="I15" t="str">
        <f t="shared" si="0"/>
        <v>07/11/2024</v>
      </c>
    </row>
    <row r="16" spans="1:9" x14ac:dyDescent="0.25">
      <c r="B16" t="s">
        <v>35</v>
      </c>
      <c r="C16">
        <v>13.85</v>
      </c>
      <c r="D16" t="s">
        <v>18</v>
      </c>
      <c r="E16" s="7">
        <v>45601</v>
      </c>
      <c r="F16" t="s">
        <v>1</v>
      </c>
      <c r="G16" t="s">
        <v>27</v>
      </c>
      <c r="H16" t="s">
        <v>16</v>
      </c>
      <c r="I16" t="str">
        <f t="shared" si="0"/>
        <v>05/11/2024</v>
      </c>
    </row>
    <row r="17" spans="2:9" x14ac:dyDescent="0.25">
      <c r="B17" t="s">
        <v>37</v>
      </c>
      <c r="C17">
        <v>34</v>
      </c>
      <c r="D17" t="s">
        <v>18</v>
      </c>
      <c r="E17" s="7">
        <v>45605</v>
      </c>
      <c r="F17" t="s">
        <v>1</v>
      </c>
      <c r="G17" t="s">
        <v>27</v>
      </c>
      <c r="H17" t="s">
        <v>16</v>
      </c>
      <c r="I17" t="str">
        <f t="shared" si="0"/>
        <v>09/11/2024</v>
      </c>
    </row>
    <row r="18" spans="2:9" x14ac:dyDescent="0.25">
      <c r="B18" t="s">
        <v>39</v>
      </c>
      <c r="C18">
        <v>16.3</v>
      </c>
      <c r="D18" t="s">
        <v>18</v>
      </c>
      <c r="E18" s="7">
        <v>45604</v>
      </c>
      <c r="F18" t="s">
        <v>1</v>
      </c>
      <c r="G18" t="s">
        <v>27</v>
      </c>
      <c r="H18" t="s">
        <v>16</v>
      </c>
      <c r="I18" t="str">
        <f t="shared" si="0"/>
        <v>08/11/2024</v>
      </c>
    </row>
    <row r="19" spans="2:9" x14ac:dyDescent="0.25">
      <c r="B19" t="s">
        <v>21</v>
      </c>
      <c r="C19">
        <v>34.25</v>
      </c>
      <c r="D19" t="s">
        <v>18</v>
      </c>
      <c r="E19" s="7">
        <v>45608</v>
      </c>
      <c r="F19" t="s">
        <v>1</v>
      </c>
      <c r="G19" t="s">
        <v>27</v>
      </c>
      <c r="H19" t="s">
        <v>16</v>
      </c>
      <c r="I19" t="str">
        <f t="shared" si="0"/>
        <v>12/11/2024</v>
      </c>
    </row>
    <row r="20" spans="2:9" x14ac:dyDescent="0.25">
      <c r="B20" t="s">
        <v>21</v>
      </c>
      <c r="C20">
        <v>27.52</v>
      </c>
      <c r="D20" t="s">
        <v>18</v>
      </c>
      <c r="E20" s="7" t="s">
        <v>41</v>
      </c>
      <c r="F20" t="s">
        <v>1</v>
      </c>
      <c r="G20" t="s">
        <v>27</v>
      </c>
      <c r="H20" t="s">
        <v>16</v>
      </c>
      <c r="I20" t="str">
        <f t="shared" si="0"/>
        <v>15/11/2024</v>
      </c>
    </row>
    <row r="21" spans="2:9" x14ac:dyDescent="0.25">
      <c r="B21" t="s">
        <v>21</v>
      </c>
      <c r="C21">
        <v>6.34</v>
      </c>
      <c r="D21" t="s">
        <v>18</v>
      </c>
      <c r="E21" s="7" t="s">
        <v>42</v>
      </c>
      <c r="F21" t="s">
        <v>1</v>
      </c>
      <c r="G21" t="s">
        <v>0</v>
      </c>
      <c r="H21" t="s">
        <v>16</v>
      </c>
      <c r="I21" t="str">
        <f t="shared" si="0"/>
        <v>13/11/2024</v>
      </c>
    </row>
    <row r="22" spans="2:9" x14ac:dyDescent="0.25">
      <c r="B22" t="s">
        <v>43</v>
      </c>
      <c r="C22">
        <f>7+4.5+5+14+11+9+1.5</f>
        <v>52</v>
      </c>
      <c r="D22" t="s">
        <v>18</v>
      </c>
      <c r="E22" s="7" t="s">
        <v>44</v>
      </c>
      <c r="F22" t="s">
        <v>0</v>
      </c>
      <c r="G22" t="s">
        <v>27</v>
      </c>
      <c r="H22" t="s">
        <v>16</v>
      </c>
      <c r="I22" t="str">
        <f t="shared" si="0"/>
        <v>16/11/2024</v>
      </c>
    </row>
    <row r="23" spans="2:9" x14ac:dyDescent="0.25">
      <c r="B23" t="s">
        <v>45</v>
      </c>
      <c r="C23">
        <v>16.899999999999999</v>
      </c>
      <c r="D23" t="s">
        <v>18</v>
      </c>
      <c r="E23" s="7" t="s">
        <v>44</v>
      </c>
      <c r="F23" t="s">
        <v>1</v>
      </c>
      <c r="G23" t="s">
        <v>0</v>
      </c>
      <c r="H23" t="s">
        <v>16</v>
      </c>
      <c r="I23" t="str">
        <f t="shared" si="0"/>
        <v>16/11/2024</v>
      </c>
    </row>
    <row r="24" spans="2:9" x14ac:dyDescent="0.25">
      <c r="B24" t="s">
        <v>46</v>
      </c>
      <c r="C24">
        <v>60</v>
      </c>
      <c r="D24" t="s">
        <v>18</v>
      </c>
      <c r="E24" s="7" t="s">
        <v>47</v>
      </c>
      <c r="F24" t="s">
        <v>0</v>
      </c>
      <c r="G24" t="s">
        <v>0</v>
      </c>
      <c r="H24" t="s">
        <v>16</v>
      </c>
      <c r="I24" t="str">
        <f t="shared" si="0"/>
        <v>21/11/2024</v>
      </c>
    </row>
    <row r="25" spans="2:9" x14ac:dyDescent="0.25">
      <c r="B25" t="s">
        <v>21</v>
      </c>
      <c r="C25">
        <v>9.07</v>
      </c>
      <c r="D25" t="s">
        <v>18</v>
      </c>
      <c r="E25" s="7" t="s">
        <v>48</v>
      </c>
      <c r="F25" t="s">
        <v>1</v>
      </c>
      <c r="G25" t="s">
        <v>0</v>
      </c>
      <c r="H25" t="s">
        <v>16</v>
      </c>
      <c r="I25" t="str">
        <f t="shared" si="0"/>
        <v>20/11/2024</v>
      </c>
    </row>
    <row r="26" spans="2:9" x14ac:dyDescent="0.25">
      <c r="B26" t="s">
        <v>21</v>
      </c>
      <c r="C26">
        <v>13.59</v>
      </c>
      <c r="D26" t="s">
        <v>18</v>
      </c>
      <c r="E26" s="7" t="s">
        <v>49</v>
      </c>
      <c r="F26" t="s">
        <v>1</v>
      </c>
      <c r="G26" t="s">
        <v>0</v>
      </c>
      <c r="H26" t="s">
        <v>16</v>
      </c>
      <c r="I26" t="str">
        <f t="shared" si="0"/>
        <v>24/11/2024</v>
      </c>
    </row>
    <row r="27" spans="2:9" x14ac:dyDescent="0.25">
      <c r="B27" t="s">
        <v>21</v>
      </c>
      <c r="C27">
        <v>7.72</v>
      </c>
      <c r="D27" t="s">
        <v>18</v>
      </c>
      <c r="E27" s="7" t="s">
        <v>50</v>
      </c>
      <c r="F27" t="s">
        <v>1</v>
      </c>
      <c r="G27" t="s">
        <v>0</v>
      </c>
      <c r="H27" t="s">
        <v>16</v>
      </c>
      <c r="I27" t="str">
        <f t="shared" si="0"/>
        <v>22/11/2024</v>
      </c>
    </row>
    <row r="28" spans="2:9" x14ac:dyDescent="0.25">
      <c r="B28" t="s">
        <v>21</v>
      </c>
      <c r="C28">
        <v>34.83</v>
      </c>
      <c r="D28" t="s">
        <v>18</v>
      </c>
      <c r="E28" s="7" t="s">
        <v>51</v>
      </c>
      <c r="F28" t="s">
        <v>1</v>
      </c>
      <c r="G28" t="s">
        <v>0</v>
      </c>
      <c r="H28" t="s">
        <v>16</v>
      </c>
      <c r="I28" t="str">
        <f t="shared" si="0"/>
        <v>18/11/2024</v>
      </c>
    </row>
    <row r="29" spans="2:9" x14ac:dyDescent="0.25">
      <c r="B29" t="s">
        <v>45</v>
      </c>
      <c r="C29">
        <v>28.95</v>
      </c>
      <c r="D29" t="s">
        <v>18</v>
      </c>
      <c r="E29" s="7" t="s">
        <v>52</v>
      </c>
      <c r="F29" t="s">
        <v>1</v>
      </c>
      <c r="G29" t="s">
        <v>0</v>
      </c>
      <c r="H29" t="s">
        <v>16</v>
      </c>
      <c r="I29" t="str">
        <f t="shared" si="0"/>
        <v>23/11/2024</v>
      </c>
    </row>
    <row r="30" spans="2:9" x14ac:dyDescent="0.25">
      <c r="B30" t="s">
        <v>21</v>
      </c>
      <c r="C30">
        <v>12.11</v>
      </c>
      <c r="D30" t="s">
        <v>18</v>
      </c>
      <c r="E30" s="7" t="s">
        <v>53</v>
      </c>
      <c r="F30" t="s">
        <v>1</v>
      </c>
      <c r="G30" t="s">
        <v>0</v>
      </c>
      <c r="H30" t="s">
        <v>16</v>
      </c>
      <c r="I30" t="str">
        <f t="shared" si="0"/>
        <v>25/11/2024</v>
      </c>
    </row>
    <row r="31" spans="2:9" x14ac:dyDescent="0.25">
      <c r="B31" t="s">
        <v>21</v>
      </c>
      <c r="C31">
        <v>29.11</v>
      </c>
      <c r="D31" t="s">
        <v>18</v>
      </c>
      <c r="E31" s="7" t="s">
        <v>54</v>
      </c>
      <c r="F31" t="s">
        <v>1</v>
      </c>
      <c r="G31" t="s">
        <v>27</v>
      </c>
      <c r="H31" t="s">
        <v>16</v>
      </c>
      <c r="I31" t="str">
        <f t="shared" si="0"/>
        <v>29/11/2024</v>
      </c>
    </row>
    <row r="32" spans="2:9" x14ac:dyDescent="0.25">
      <c r="B32" t="s">
        <v>21</v>
      </c>
      <c r="C32">
        <v>10.17</v>
      </c>
      <c r="D32" t="s">
        <v>18</v>
      </c>
      <c r="E32" s="7" t="s">
        <v>55</v>
      </c>
      <c r="F32" t="s">
        <v>1</v>
      </c>
      <c r="G32" t="s">
        <v>0</v>
      </c>
      <c r="H32" t="s">
        <v>16</v>
      </c>
      <c r="I32" t="str">
        <f t="shared" si="0"/>
        <v>27/11/2024</v>
      </c>
    </row>
    <row r="33" spans="2:9" x14ac:dyDescent="0.25">
      <c r="B33" t="s">
        <v>21</v>
      </c>
      <c r="C33">
        <v>15.9</v>
      </c>
      <c r="D33" t="s">
        <v>18</v>
      </c>
      <c r="E33" s="7" t="s">
        <v>56</v>
      </c>
      <c r="F33" t="s">
        <v>1</v>
      </c>
      <c r="G33" t="s">
        <v>27</v>
      </c>
      <c r="H33" t="s">
        <v>16</v>
      </c>
      <c r="I33" t="str">
        <f t="shared" si="0"/>
        <v>30/11/2024</v>
      </c>
    </row>
    <row r="34" spans="2:9" x14ac:dyDescent="0.25">
      <c r="B34" t="s">
        <v>45</v>
      </c>
      <c r="C34">
        <v>42.75</v>
      </c>
      <c r="D34" t="s">
        <v>18</v>
      </c>
      <c r="E34" s="7" t="s">
        <v>56</v>
      </c>
      <c r="F34" t="s">
        <v>1</v>
      </c>
      <c r="G34" t="s">
        <v>0</v>
      </c>
      <c r="H34" t="s">
        <v>16</v>
      </c>
      <c r="I34" t="str">
        <f t="shared" si="0"/>
        <v>30/11/2024</v>
      </c>
    </row>
    <row r="35" spans="2:9" x14ac:dyDescent="0.25">
      <c r="B35" t="s">
        <v>57</v>
      </c>
      <c r="C35">
        <v>20</v>
      </c>
      <c r="D35" t="s">
        <v>18</v>
      </c>
      <c r="E35" s="7">
        <v>45627</v>
      </c>
      <c r="F35" t="s">
        <v>1</v>
      </c>
      <c r="G35" t="s">
        <v>27</v>
      </c>
      <c r="H35" t="s">
        <v>16</v>
      </c>
      <c r="I35" t="str">
        <f t="shared" si="0"/>
        <v>01/12/2024</v>
      </c>
    </row>
    <row r="36" spans="2:9" x14ac:dyDescent="0.25">
      <c r="B36" t="s">
        <v>22</v>
      </c>
      <c r="C36">
        <v>350</v>
      </c>
      <c r="D36" t="s">
        <v>18</v>
      </c>
      <c r="E36" s="7">
        <v>45627</v>
      </c>
      <c r="F36" t="s">
        <v>0</v>
      </c>
      <c r="G36" t="s">
        <v>27</v>
      </c>
      <c r="H36" t="s">
        <v>16</v>
      </c>
      <c r="I36" t="str">
        <f t="shared" si="0"/>
        <v>01/12/2024</v>
      </c>
    </row>
    <row r="37" spans="2:9" x14ac:dyDescent="0.25">
      <c r="B37" t="s">
        <v>45</v>
      </c>
      <c r="C37">
        <v>25.4</v>
      </c>
      <c r="D37" t="s">
        <v>18</v>
      </c>
      <c r="E37" s="7">
        <v>45633</v>
      </c>
      <c r="F37" t="s">
        <v>1</v>
      </c>
      <c r="G37" t="s">
        <v>0</v>
      </c>
      <c r="H37" t="s">
        <v>16</v>
      </c>
      <c r="I37" t="str">
        <f t="shared" si="0"/>
        <v>07/12/2024</v>
      </c>
    </row>
    <row r="38" spans="2:9" x14ac:dyDescent="0.25">
      <c r="B38" t="s">
        <v>21</v>
      </c>
      <c r="C38">
        <v>31.19</v>
      </c>
      <c r="D38" t="s">
        <v>18</v>
      </c>
      <c r="E38" s="7">
        <v>45633</v>
      </c>
      <c r="F38" t="s">
        <v>1</v>
      </c>
      <c r="G38" t="s">
        <v>0</v>
      </c>
      <c r="H38" t="s">
        <v>16</v>
      </c>
      <c r="I38" t="str">
        <f t="shared" si="0"/>
        <v>07/12/2024</v>
      </c>
    </row>
    <row r="39" spans="2:9" x14ac:dyDescent="0.25">
      <c r="B39" t="s">
        <v>58</v>
      </c>
      <c r="C39">
        <v>35.200000000000003</v>
      </c>
      <c r="D39" t="s">
        <v>18</v>
      </c>
      <c r="E39" s="7">
        <v>45630</v>
      </c>
      <c r="F39" t="s">
        <v>1</v>
      </c>
      <c r="G39" t="s">
        <v>0</v>
      </c>
      <c r="H39" t="s">
        <v>16</v>
      </c>
      <c r="I39" t="str">
        <f t="shared" si="0"/>
        <v>04/12/2024</v>
      </c>
    </row>
    <row r="40" spans="2:9" x14ac:dyDescent="0.25">
      <c r="B40" t="s">
        <v>21</v>
      </c>
      <c r="C40">
        <v>24.26</v>
      </c>
      <c r="D40" t="s">
        <v>18</v>
      </c>
      <c r="E40" s="7">
        <v>45629</v>
      </c>
      <c r="F40" t="s">
        <v>1</v>
      </c>
      <c r="G40" t="s">
        <v>0</v>
      </c>
      <c r="H40" t="s">
        <v>16</v>
      </c>
      <c r="I40" t="str">
        <f t="shared" si="0"/>
        <v>03/12/2024</v>
      </c>
    </row>
    <row r="41" spans="2:9" x14ac:dyDescent="0.25">
      <c r="B41" t="s">
        <v>21</v>
      </c>
      <c r="C41">
        <v>5.98</v>
      </c>
      <c r="D41" t="s">
        <v>18</v>
      </c>
      <c r="E41" s="7">
        <v>45628</v>
      </c>
      <c r="F41" t="s">
        <v>1</v>
      </c>
      <c r="G41" t="s">
        <v>27</v>
      </c>
      <c r="H41" t="s">
        <v>16</v>
      </c>
      <c r="I41" t="str">
        <f t="shared" si="0"/>
        <v>02/12/2024</v>
      </c>
    </row>
    <row r="42" spans="2:9" x14ac:dyDescent="0.25">
      <c r="B42" t="s">
        <v>43</v>
      </c>
      <c r="C42">
        <v>9</v>
      </c>
      <c r="D42" t="s">
        <v>18</v>
      </c>
      <c r="E42" s="7">
        <v>45633</v>
      </c>
      <c r="F42" t="s">
        <v>0</v>
      </c>
      <c r="G42" t="s">
        <v>27</v>
      </c>
      <c r="H42" t="s">
        <v>16</v>
      </c>
      <c r="I42" t="str">
        <f t="shared" si="0"/>
        <v>07/12/2024</v>
      </c>
    </row>
    <row r="43" spans="2:9" x14ac:dyDescent="0.25">
      <c r="B43" t="s">
        <v>60</v>
      </c>
      <c r="C43">
        <v>9</v>
      </c>
      <c r="D43" t="s">
        <v>18</v>
      </c>
      <c r="E43" s="7" t="s">
        <v>61</v>
      </c>
      <c r="F43" t="s">
        <v>0</v>
      </c>
      <c r="G43" t="s">
        <v>0</v>
      </c>
      <c r="H43" t="s">
        <v>16</v>
      </c>
      <c r="I43" t="str">
        <f t="shared" si="0"/>
        <v>16/12/2024</v>
      </c>
    </row>
    <row r="44" spans="2:9" x14ac:dyDescent="0.25">
      <c r="B44" t="s">
        <v>62</v>
      </c>
      <c r="C44">
        <v>0.5</v>
      </c>
      <c r="D44" t="s">
        <v>18</v>
      </c>
      <c r="E44" s="7">
        <v>45633</v>
      </c>
      <c r="F44" t="s">
        <v>1</v>
      </c>
      <c r="G44" t="s">
        <v>0</v>
      </c>
      <c r="H44" t="s">
        <v>16</v>
      </c>
      <c r="I44" t="str">
        <f t="shared" si="0"/>
        <v>07/12/2024</v>
      </c>
    </row>
    <row r="45" spans="2:9" x14ac:dyDescent="0.25">
      <c r="B45" t="s">
        <v>21</v>
      </c>
      <c r="C45">
        <v>20.73</v>
      </c>
      <c r="D45" t="s">
        <v>18</v>
      </c>
      <c r="E45" s="7">
        <v>45637</v>
      </c>
      <c r="F45" t="s">
        <v>1</v>
      </c>
      <c r="G45" t="s">
        <v>27</v>
      </c>
      <c r="H45" t="s">
        <v>16</v>
      </c>
      <c r="I45" t="str">
        <f t="shared" si="0"/>
        <v>11/12/2024</v>
      </c>
    </row>
    <row r="46" spans="2:9" x14ac:dyDescent="0.25">
      <c r="B46" t="s">
        <v>63</v>
      </c>
      <c r="C46">
        <v>9</v>
      </c>
      <c r="D46" t="s">
        <v>18</v>
      </c>
      <c r="E46" s="7">
        <v>45633</v>
      </c>
      <c r="F46" t="s">
        <v>0</v>
      </c>
      <c r="G46" t="s">
        <v>27</v>
      </c>
      <c r="H46" t="s">
        <v>16</v>
      </c>
      <c r="I46" t="str">
        <f t="shared" si="0"/>
        <v>07/12/2024</v>
      </c>
    </row>
    <row r="47" spans="2:9" x14ac:dyDescent="0.25">
      <c r="B47" t="s">
        <v>64</v>
      </c>
      <c r="C47">
        <v>18.3</v>
      </c>
      <c r="D47" t="s">
        <v>18</v>
      </c>
      <c r="E47" s="7" t="s">
        <v>65</v>
      </c>
      <c r="F47" t="s">
        <v>1</v>
      </c>
      <c r="G47" t="s">
        <v>0</v>
      </c>
      <c r="H47" t="s">
        <v>16</v>
      </c>
      <c r="I47" t="str">
        <f t="shared" si="0"/>
        <v>21/12/2024</v>
      </c>
    </row>
    <row r="48" spans="2:9" x14ac:dyDescent="0.25">
      <c r="B48" t="s">
        <v>21</v>
      </c>
      <c r="C48">
        <v>36.25</v>
      </c>
      <c r="D48" t="s">
        <v>18</v>
      </c>
      <c r="E48" s="7" t="s">
        <v>66</v>
      </c>
      <c r="F48" t="s">
        <v>1</v>
      </c>
      <c r="G48" t="s">
        <v>0</v>
      </c>
      <c r="H48" t="s">
        <v>16</v>
      </c>
      <c r="I48" t="str">
        <f t="shared" si="0"/>
        <v>20/12/2024</v>
      </c>
    </row>
    <row r="49" spans="1:9" x14ac:dyDescent="0.25">
      <c r="B49" t="s">
        <v>21</v>
      </c>
      <c r="C49">
        <v>8.7100000000000009</v>
      </c>
      <c r="D49" t="s">
        <v>18</v>
      </c>
      <c r="E49" s="7" t="s">
        <v>67</v>
      </c>
      <c r="F49" t="s">
        <v>1</v>
      </c>
      <c r="G49" t="s">
        <v>0</v>
      </c>
      <c r="H49" t="s">
        <v>16</v>
      </c>
      <c r="I49" t="str">
        <f t="shared" si="0"/>
        <v>18/12/2024</v>
      </c>
    </row>
    <row r="50" spans="1:9" x14ac:dyDescent="0.25">
      <c r="B50" t="s">
        <v>21</v>
      </c>
      <c r="C50">
        <v>20.25</v>
      </c>
      <c r="D50" t="s">
        <v>18</v>
      </c>
      <c r="E50" s="7" t="s">
        <v>68</v>
      </c>
      <c r="F50" t="s">
        <v>1</v>
      </c>
      <c r="G50" t="s">
        <v>27</v>
      </c>
      <c r="H50" t="s">
        <v>16</v>
      </c>
      <c r="I50" t="str">
        <f t="shared" si="0"/>
        <v>14/12/2024</v>
      </c>
    </row>
    <row r="51" spans="1:9" x14ac:dyDescent="0.25">
      <c r="B51" t="s">
        <v>21</v>
      </c>
      <c r="C51">
        <v>12.65</v>
      </c>
      <c r="D51" t="s">
        <v>18</v>
      </c>
      <c r="E51" s="7" t="s">
        <v>61</v>
      </c>
      <c r="F51" t="s">
        <v>1</v>
      </c>
      <c r="G51" t="s">
        <v>0</v>
      </c>
      <c r="H51" t="s">
        <v>16</v>
      </c>
      <c r="I51" t="str">
        <f t="shared" si="0"/>
        <v>16/12/2024</v>
      </c>
    </row>
    <row r="52" spans="1:9" x14ac:dyDescent="0.25">
      <c r="B52" t="s">
        <v>21</v>
      </c>
      <c r="C52">
        <v>38.130000000000003</v>
      </c>
      <c r="D52" t="s">
        <v>18</v>
      </c>
      <c r="E52" s="7" t="s">
        <v>68</v>
      </c>
      <c r="F52" t="s">
        <v>1</v>
      </c>
      <c r="G52" t="s">
        <v>0</v>
      </c>
      <c r="H52" t="s">
        <v>16</v>
      </c>
      <c r="I52" t="str">
        <f t="shared" si="0"/>
        <v>14/12/2024</v>
      </c>
    </row>
    <row r="53" spans="1:9" x14ac:dyDescent="0.25">
      <c r="B53" t="s">
        <v>70</v>
      </c>
      <c r="C53">
        <v>26.13</v>
      </c>
      <c r="D53" t="s">
        <v>18</v>
      </c>
      <c r="E53" s="7" t="s">
        <v>69</v>
      </c>
      <c r="F53" t="s">
        <v>0</v>
      </c>
      <c r="G53" t="s">
        <v>0</v>
      </c>
      <c r="H53" t="s">
        <v>16</v>
      </c>
      <c r="I53" t="str">
        <f t="shared" si="0"/>
        <v>15/12/2024</v>
      </c>
    </row>
    <row r="54" spans="1:9" x14ac:dyDescent="0.25">
      <c r="A54" t="s">
        <v>77</v>
      </c>
      <c r="B54" t="s">
        <v>71</v>
      </c>
      <c r="C54">
        <v>74</v>
      </c>
      <c r="D54" t="s">
        <v>18</v>
      </c>
      <c r="E54" s="7">
        <v>45638</v>
      </c>
      <c r="F54" t="s">
        <v>1</v>
      </c>
      <c r="G54" t="s">
        <v>27</v>
      </c>
      <c r="H54" t="s">
        <v>16</v>
      </c>
      <c r="I54" t="str">
        <f t="shared" si="0"/>
        <v>12/12/2024</v>
      </c>
    </row>
    <row r="55" spans="1:9" x14ac:dyDescent="0.25">
      <c r="A55" t="s">
        <v>77</v>
      </c>
      <c r="B55" t="s">
        <v>72</v>
      </c>
      <c r="C55">
        <v>88.8</v>
      </c>
      <c r="D55" t="s">
        <v>18</v>
      </c>
      <c r="E55" s="7">
        <v>45638</v>
      </c>
      <c r="F55" t="s">
        <v>1</v>
      </c>
      <c r="G55" t="s">
        <v>27</v>
      </c>
      <c r="H55" t="s">
        <v>16</v>
      </c>
      <c r="I55" t="str">
        <f t="shared" si="0"/>
        <v>12/12/2024</v>
      </c>
    </row>
    <row r="56" spans="1:9" x14ac:dyDescent="0.25">
      <c r="B56" t="s">
        <v>21</v>
      </c>
      <c r="C56">
        <v>26.85</v>
      </c>
      <c r="D56" t="s">
        <v>18</v>
      </c>
      <c r="E56" s="7" t="s">
        <v>73</v>
      </c>
      <c r="F56" t="s">
        <v>1</v>
      </c>
      <c r="G56" t="s">
        <v>0</v>
      </c>
      <c r="H56" t="s">
        <v>16</v>
      </c>
      <c r="I56" t="str">
        <f t="shared" si="0"/>
        <v>23/12/2024</v>
      </c>
    </row>
    <row r="57" spans="1:9" x14ac:dyDescent="0.25">
      <c r="B57" t="s">
        <v>21</v>
      </c>
      <c r="C57">
        <v>13.62</v>
      </c>
      <c r="D57" t="s">
        <v>18</v>
      </c>
      <c r="E57" s="7" t="s">
        <v>74</v>
      </c>
      <c r="F57" t="s">
        <v>1</v>
      </c>
      <c r="G57" t="s">
        <v>0</v>
      </c>
      <c r="H57" t="s">
        <v>16</v>
      </c>
      <c r="I57" t="str">
        <f t="shared" si="0"/>
        <v>22/12/2024</v>
      </c>
    </row>
    <row r="58" spans="1:9" x14ac:dyDescent="0.25">
      <c r="B58" t="s">
        <v>21</v>
      </c>
      <c r="C58">
        <v>11.69</v>
      </c>
      <c r="D58" t="s">
        <v>18</v>
      </c>
      <c r="E58" s="7" t="s">
        <v>75</v>
      </c>
      <c r="F58" t="s">
        <v>1</v>
      </c>
      <c r="G58" t="s">
        <v>0</v>
      </c>
      <c r="H58" t="s">
        <v>16</v>
      </c>
      <c r="I58" t="str">
        <f t="shared" si="0"/>
        <v>26/12/2024</v>
      </c>
    </row>
    <row r="59" spans="1:9" x14ac:dyDescent="0.25">
      <c r="B59" t="s">
        <v>21</v>
      </c>
      <c r="C59">
        <v>17.7</v>
      </c>
      <c r="D59" t="s">
        <v>18</v>
      </c>
      <c r="E59" s="7" t="s">
        <v>76</v>
      </c>
      <c r="F59" t="s">
        <v>1</v>
      </c>
      <c r="G59" t="s">
        <v>0</v>
      </c>
      <c r="H59" t="s">
        <v>16</v>
      </c>
      <c r="I59" t="str">
        <f t="shared" si="0"/>
        <v>27/12/2024</v>
      </c>
    </row>
    <row r="60" spans="1:9" x14ac:dyDescent="0.25">
      <c r="A60" t="s">
        <v>77</v>
      </c>
      <c r="B60" t="s">
        <v>78</v>
      </c>
      <c r="C60">
        <v>24</v>
      </c>
      <c r="D60" t="s">
        <v>18</v>
      </c>
      <c r="E60" s="7" t="s">
        <v>79</v>
      </c>
      <c r="F60" t="s">
        <v>1</v>
      </c>
      <c r="G60" t="s">
        <v>27</v>
      </c>
      <c r="H60" t="s">
        <v>16</v>
      </c>
      <c r="I60" t="str">
        <f t="shared" si="0"/>
        <v>24/12/2024</v>
      </c>
    </row>
    <row r="61" spans="1:9" x14ac:dyDescent="0.25">
      <c r="A61" t="s">
        <v>77</v>
      </c>
      <c r="B61" t="s">
        <v>62</v>
      </c>
      <c r="C61">
        <v>1.25</v>
      </c>
      <c r="D61" t="s">
        <v>18</v>
      </c>
      <c r="E61" s="7" t="s">
        <v>79</v>
      </c>
      <c r="F61" t="s">
        <v>1</v>
      </c>
      <c r="G61" t="s">
        <v>27</v>
      </c>
      <c r="H61" t="s">
        <v>16</v>
      </c>
      <c r="I61" t="str">
        <f t="shared" si="0"/>
        <v>24/12/2024</v>
      </c>
    </row>
    <row r="62" spans="1:9" x14ac:dyDescent="0.25">
      <c r="A62" t="s">
        <v>77</v>
      </c>
      <c r="B62" t="s">
        <v>80</v>
      </c>
      <c r="C62">
        <v>8.1</v>
      </c>
      <c r="D62" t="s">
        <v>18</v>
      </c>
      <c r="E62" s="7" t="s">
        <v>79</v>
      </c>
      <c r="F62" t="s">
        <v>1</v>
      </c>
      <c r="G62" t="s">
        <v>59</v>
      </c>
      <c r="H62" t="s">
        <v>16</v>
      </c>
      <c r="I62" t="str">
        <f t="shared" si="0"/>
        <v>24/12/2024</v>
      </c>
    </row>
    <row r="63" spans="1:9" x14ac:dyDescent="0.25">
      <c r="A63" t="s">
        <v>77</v>
      </c>
      <c r="B63" t="s">
        <v>81</v>
      </c>
      <c r="C63">
        <v>14</v>
      </c>
      <c r="D63" t="s">
        <v>18</v>
      </c>
      <c r="E63" s="7" t="s">
        <v>79</v>
      </c>
      <c r="F63" t="s">
        <v>1</v>
      </c>
      <c r="G63" t="s">
        <v>0</v>
      </c>
      <c r="H63" t="s">
        <v>16</v>
      </c>
      <c r="I63" t="str">
        <f t="shared" si="0"/>
        <v>24/12/2024</v>
      </c>
    </row>
    <row r="64" spans="1:9" x14ac:dyDescent="0.25">
      <c r="A64" t="s">
        <v>77</v>
      </c>
      <c r="B64" t="s">
        <v>35</v>
      </c>
      <c r="C64">
        <v>9</v>
      </c>
      <c r="D64" t="s">
        <v>18</v>
      </c>
      <c r="E64" s="7" t="s">
        <v>79</v>
      </c>
      <c r="F64" t="s">
        <v>1</v>
      </c>
      <c r="G64" t="s">
        <v>0</v>
      </c>
      <c r="H64" t="s">
        <v>16</v>
      </c>
      <c r="I64" t="str">
        <f t="shared" si="0"/>
        <v>24/12/2024</v>
      </c>
    </row>
    <row r="65" spans="1:9" x14ac:dyDescent="0.25">
      <c r="A65" t="s">
        <v>77</v>
      </c>
      <c r="B65" t="s">
        <v>80</v>
      </c>
      <c r="C65">
        <v>4.41</v>
      </c>
      <c r="D65" t="s">
        <v>18</v>
      </c>
      <c r="E65" s="7" t="s">
        <v>82</v>
      </c>
      <c r="F65" t="s">
        <v>27</v>
      </c>
      <c r="G65" t="s">
        <v>0</v>
      </c>
      <c r="H65" t="s">
        <v>16</v>
      </c>
      <c r="I65" t="str">
        <f t="shared" si="0"/>
        <v>25/12/2024</v>
      </c>
    </row>
    <row r="66" spans="1:9" x14ac:dyDescent="0.25">
      <c r="A66" t="s">
        <v>77</v>
      </c>
      <c r="B66" t="s">
        <v>83</v>
      </c>
      <c r="C66">
        <v>11</v>
      </c>
      <c r="D66" t="s">
        <v>18</v>
      </c>
      <c r="E66" s="7" t="s">
        <v>82</v>
      </c>
      <c r="F66" t="s">
        <v>1</v>
      </c>
      <c r="G66" t="s">
        <v>0</v>
      </c>
      <c r="H66" t="s">
        <v>16</v>
      </c>
      <c r="I66" t="str">
        <f t="shared" si="0"/>
        <v>25/12/2024</v>
      </c>
    </row>
    <row r="67" spans="1:9" x14ac:dyDescent="0.25">
      <c r="A67" t="s">
        <v>77</v>
      </c>
      <c r="B67" t="s">
        <v>84</v>
      </c>
      <c r="C67">
        <v>8.1999999999999993</v>
      </c>
      <c r="D67" t="s">
        <v>18</v>
      </c>
      <c r="E67" s="7" t="s">
        <v>82</v>
      </c>
      <c r="F67" t="s">
        <v>1</v>
      </c>
      <c r="G67" t="s">
        <v>0</v>
      </c>
      <c r="H67" t="s">
        <v>16</v>
      </c>
      <c r="I67" t="str">
        <f t="shared" ref="I67:I130" si="1">TEXT(E67,"dd/mm/aaaa")</f>
        <v>25/12/2024</v>
      </c>
    </row>
    <row r="68" spans="1:9" x14ac:dyDescent="0.25">
      <c r="A68" t="s">
        <v>77</v>
      </c>
      <c r="B68" t="s">
        <v>80</v>
      </c>
      <c r="C68">
        <v>7.6</v>
      </c>
      <c r="D68" t="s">
        <v>18</v>
      </c>
      <c r="E68" s="7" t="s">
        <v>75</v>
      </c>
      <c r="F68" t="s">
        <v>1</v>
      </c>
      <c r="G68" t="s">
        <v>0</v>
      </c>
      <c r="H68" t="s">
        <v>16</v>
      </c>
      <c r="I68" t="str">
        <f t="shared" si="1"/>
        <v>26/12/2024</v>
      </c>
    </row>
    <row r="69" spans="1:9" x14ac:dyDescent="0.25">
      <c r="A69" t="s">
        <v>77</v>
      </c>
      <c r="B69" t="s">
        <v>84</v>
      </c>
      <c r="C69">
        <v>3.03</v>
      </c>
      <c r="D69" t="s">
        <v>18</v>
      </c>
      <c r="E69" s="7" t="s">
        <v>82</v>
      </c>
      <c r="F69" t="s">
        <v>1</v>
      </c>
      <c r="G69" t="s">
        <v>0</v>
      </c>
      <c r="H69" t="s">
        <v>16</v>
      </c>
      <c r="I69" t="str">
        <f t="shared" si="1"/>
        <v>25/12/2024</v>
      </c>
    </row>
    <row r="70" spans="1:9" x14ac:dyDescent="0.25">
      <c r="B70" t="s">
        <v>21</v>
      </c>
      <c r="C70">
        <v>6.95</v>
      </c>
      <c r="D70" t="s">
        <v>18</v>
      </c>
      <c r="E70" s="7" t="s">
        <v>85</v>
      </c>
      <c r="F70" t="s">
        <v>1</v>
      </c>
      <c r="G70" t="s">
        <v>0</v>
      </c>
      <c r="H70" t="s">
        <v>16</v>
      </c>
      <c r="I70" t="str">
        <f t="shared" si="1"/>
        <v>30/12/2024</v>
      </c>
    </row>
    <row r="71" spans="1:9" x14ac:dyDescent="0.25">
      <c r="B71" t="s">
        <v>21</v>
      </c>
      <c r="C71">
        <v>25</v>
      </c>
      <c r="D71" t="s">
        <v>18</v>
      </c>
      <c r="E71" s="7">
        <v>45661</v>
      </c>
      <c r="F71" t="s">
        <v>1</v>
      </c>
      <c r="G71" t="s">
        <v>27</v>
      </c>
      <c r="H71" t="s">
        <v>16</v>
      </c>
      <c r="I71" t="str">
        <f t="shared" si="1"/>
        <v>04/01/2025</v>
      </c>
    </row>
    <row r="72" spans="1:9" x14ac:dyDescent="0.25">
      <c r="B72" t="s">
        <v>21</v>
      </c>
      <c r="C72">
        <v>12.73</v>
      </c>
      <c r="D72" t="s">
        <v>18</v>
      </c>
      <c r="E72" s="7" t="s">
        <v>86</v>
      </c>
      <c r="F72" t="s">
        <v>1</v>
      </c>
      <c r="G72" t="s">
        <v>0</v>
      </c>
      <c r="H72" t="s">
        <v>16</v>
      </c>
      <c r="I72" t="str">
        <f t="shared" si="1"/>
        <v>28/12/2024</v>
      </c>
    </row>
    <row r="73" spans="1:9" x14ac:dyDescent="0.25">
      <c r="B73" t="s">
        <v>21</v>
      </c>
      <c r="C73">
        <v>2.2200000000000002</v>
      </c>
      <c r="D73" t="s">
        <v>18</v>
      </c>
      <c r="E73" s="7">
        <v>45660</v>
      </c>
      <c r="F73" t="s">
        <v>1</v>
      </c>
      <c r="G73" t="s">
        <v>0</v>
      </c>
      <c r="H73" t="s">
        <v>16</v>
      </c>
      <c r="I73" t="str">
        <f t="shared" si="1"/>
        <v>03/01/2025</v>
      </c>
    </row>
    <row r="74" spans="1:9" x14ac:dyDescent="0.25">
      <c r="B74" t="s">
        <v>21</v>
      </c>
      <c r="C74">
        <v>23.59</v>
      </c>
      <c r="D74" t="s">
        <v>18</v>
      </c>
      <c r="E74" s="7" t="s">
        <v>85</v>
      </c>
      <c r="F74" t="s">
        <v>1</v>
      </c>
      <c r="G74" t="s">
        <v>59</v>
      </c>
      <c r="H74" t="s">
        <v>16</v>
      </c>
      <c r="I74" t="str">
        <f t="shared" si="1"/>
        <v>30/12/2024</v>
      </c>
    </row>
    <row r="75" spans="1:9" x14ac:dyDescent="0.25">
      <c r="B75" t="s">
        <v>87</v>
      </c>
      <c r="C75">
        <v>20</v>
      </c>
      <c r="D75" t="s">
        <v>18</v>
      </c>
      <c r="E75" s="7">
        <v>45659</v>
      </c>
      <c r="F75" t="s">
        <v>1</v>
      </c>
      <c r="G75" t="s">
        <v>0</v>
      </c>
      <c r="H75" t="s">
        <v>16</v>
      </c>
      <c r="I75" t="str">
        <f t="shared" si="1"/>
        <v>02/01/2025</v>
      </c>
    </row>
    <row r="76" spans="1:9" x14ac:dyDescent="0.25">
      <c r="B76" t="s">
        <v>45</v>
      </c>
      <c r="C76">
        <v>35.4</v>
      </c>
      <c r="D76" t="s">
        <v>18</v>
      </c>
      <c r="E76" s="7" t="s">
        <v>85</v>
      </c>
      <c r="F76" t="s">
        <v>1</v>
      </c>
      <c r="G76" t="s">
        <v>59</v>
      </c>
      <c r="H76" t="s">
        <v>16</v>
      </c>
      <c r="I76" t="str">
        <f t="shared" si="1"/>
        <v>30/12/2024</v>
      </c>
    </row>
    <row r="77" spans="1:9" x14ac:dyDescent="0.25">
      <c r="B77" t="s">
        <v>88</v>
      </c>
      <c r="C77">
        <f>290</f>
        <v>290</v>
      </c>
      <c r="D77" t="s">
        <v>18</v>
      </c>
      <c r="E77" s="7">
        <v>45663</v>
      </c>
      <c r="F77" t="s">
        <v>0</v>
      </c>
      <c r="G77" t="s">
        <v>0</v>
      </c>
      <c r="H77" t="s">
        <v>16</v>
      </c>
      <c r="I77" t="str">
        <f t="shared" si="1"/>
        <v>06/01/2025</v>
      </c>
    </row>
    <row r="78" spans="1:9" x14ac:dyDescent="0.25">
      <c r="B78" t="s">
        <v>21</v>
      </c>
      <c r="C78">
        <v>29.24</v>
      </c>
      <c r="D78" t="s">
        <v>18</v>
      </c>
      <c r="E78" s="7" t="s">
        <v>89</v>
      </c>
      <c r="F78" t="s">
        <v>1</v>
      </c>
      <c r="G78" t="s">
        <v>59</v>
      </c>
      <c r="H78" t="s">
        <v>16</v>
      </c>
      <c r="I78" t="str">
        <f t="shared" si="1"/>
        <v>14/01/2025</v>
      </c>
    </row>
    <row r="79" spans="1:9" x14ac:dyDescent="0.25">
      <c r="B79" t="s">
        <v>21</v>
      </c>
      <c r="C79">
        <v>37.979999999999997</v>
      </c>
      <c r="D79" t="s">
        <v>18</v>
      </c>
      <c r="E79" s="7" t="s">
        <v>90</v>
      </c>
      <c r="F79" t="s">
        <v>1</v>
      </c>
      <c r="G79" t="s">
        <v>59</v>
      </c>
      <c r="H79" t="s">
        <v>16</v>
      </c>
      <c r="I79" t="str">
        <f t="shared" si="1"/>
        <v>17/01/2025</v>
      </c>
    </row>
    <row r="80" spans="1:9" x14ac:dyDescent="0.25">
      <c r="B80" t="s">
        <v>91</v>
      </c>
      <c r="C80">
        <v>6</v>
      </c>
      <c r="D80" t="s">
        <v>18</v>
      </c>
      <c r="E80" s="7" t="s">
        <v>92</v>
      </c>
      <c r="F80" t="s">
        <v>0</v>
      </c>
      <c r="G80" t="s">
        <v>0</v>
      </c>
      <c r="H80" t="s">
        <v>16</v>
      </c>
      <c r="I80" t="str">
        <f t="shared" si="1"/>
        <v>18/01/2025</v>
      </c>
    </row>
    <row r="81" spans="1:9" x14ac:dyDescent="0.25">
      <c r="B81" t="s">
        <v>64</v>
      </c>
      <c r="C81">
        <v>20.8</v>
      </c>
      <c r="D81" t="s">
        <v>18</v>
      </c>
      <c r="E81" s="7">
        <v>45663</v>
      </c>
      <c r="F81" t="s">
        <v>1</v>
      </c>
      <c r="G81" t="s">
        <v>0</v>
      </c>
      <c r="H81" t="s">
        <v>16</v>
      </c>
      <c r="I81" t="str">
        <f t="shared" si="1"/>
        <v>06/01/2025</v>
      </c>
    </row>
    <row r="82" spans="1:9" x14ac:dyDescent="0.25">
      <c r="B82" t="s">
        <v>21</v>
      </c>
      <c r="C82">
        <v>50.06</v>
      </c>
      <c r="D82" t="s">
        <v>18</v>
      </c>
      <c r="E82" s="7">
        <v>45664</v>
      </c>
      <c r="F82" t="s">
        <v>1</v>
      </c>
      <c r="G82" t="s">
        <v>59</v>
      </c>
      <c r="H82" t="s">
        <v>16</v>
      </c>
      <c r="I82" t="str">
        <f t="shared" si="1"/>
        <v>07/01/2025</v>
      </c>
    </row>
    <row r="83" spans="1:9" x14ac:dyDescent="0.25">
      <c r="B83" t="s">
        <v>21</v>
      </c>
      <c r="C83">
        <v>19.600000000000001</v>
      </c>
      <c r="D83" t="s">
        <v>18</v>
      </c>
      <c r="E83" s="7">
        <v>45666</v>
      </c>
      <c r="F83" t="s">
        <v>1</v>
      </c>
      <c r="G83" t="s">
        <v>0</v>
      </c>
      <c r="H83" t="s">
        <v>16</v>
      </c>
      <c r="I83" t="str">
        <f t="shared" si="1"/>
        <v>09/01/2025</v>
      </c>
    </row>
    <row r="84" spans="1:9" x14ac:dyDescent="0.25">
      <c r="B84" t="s">
        <v>64</v>
      </c>
      <c r="C84">
        <v>28.7</v>
      </c>
      <c r="D84" t="s">
        <v>18</v>
      </c>
      <c r="E84" s="7">
        <v>45667</v>
      </c>
      <c r="F84" t="s">
        <v>1</v>
      </c>
      <c r="G84" t="s">
        <v>59</v>
      </c>
      <c r="H84" t="s">
        <v>16</v>
      </c>
      <c r="I84" t="str">
        <f t="shared" si="1"/>
        <v>10/01/2025</v>
      </c>
    </row>
    <row r="85" spans="1:9" x14ac:dyDescent="0.25">
      <c r="A85" t="s">
        <v>93</v>
      </c>
      <c r="B85" t="s">
        <v>21</v>
      </c>
      <c r="C85">
        <v>4.28</v>
      </c>
      <c r="D85" t="s">
        <v>18</v>
      </c>
      <c r="E85" s="7">
        <v>45668</v>
      </c>
      <c r="F85" t="s">
        <v>1</v>
      </c>
      <c r="G85" t="s">
        <v>0</v>
      </c>
      <c r="H85" t="s">
        <v>16</v>
      </c>
      <c r="I85" t="str">
        <f t="shared" si="1"/>
        <v>11/01/2025</v>
      </c>
    </row>
    <row r="86" spans="1:9" x14ac:dyDescent="0.25">
      <c r="B86" t="s">
        <v>30</v>
      </c>
      <c r="C86">
        <v>10</v>
      </c>
      <c r="D86" t="s">
        <v>18</v>
      </c>
      <c r="E86" s="7">
        <v>45664</v>
      </c>
      <c r="F86" t="s">
        <v>0</v>
      </c>
      <c r="G86" t="s">
        <v>0</v>
      </c>
      <c r="H86" t="s">
        <v>16</v>
      </c>
      <c r="I86" t="str">
        <f t="shared" si="1"/>
        <v>07/01/2025</v>
      </c>
    </row>
    <row r="87" spans="1:9" x14ac:dyDescent="0.25">
      <c r="A87" t="s">
        <v>93</v>
      </c>
      <c r="B87" t="s">
        <v>94</v>
      </c>
      <c r="C87">
        <v>44.8</v>
      </c>
      <c r="D87" t="s">
        <v>18</v>
      </c>
      <c r="E87" s="7">
        <v>45665</v>
      </c>
      <c r="F87" t="s">
        <v>1</v>
      </c>
      <c r="G87" t="s">
        <v>59</v>
      </c>
      <c r="H87" t="s">
        <v>16</v>
      </c>
      <c r="I87" t="str">
        <f t="shared" si="1"/>
        <v>08/01/2025</v>
      </c>
    </row>
    <row r="88" spans="1:9" x14ac:dyDescent="0.25">
      <c r="A88" t="s">
        <v>93</v>
      </c>
      <c r="B88" t="s">
        <v>95</v>
      </c>
      <c r="C88">
        <v>12.1</v>
      </c>
      <c r="D88" t="s">
        <v>18</v>
      </c>
      <c r="E88" s="7">
        <v>45668</v>
      </c>
      <c r="F88" t="s">
        <v>1</v>
      </c>
      <c r="G88" t="s">
        <v>0</v>
      </c>
      <c r="H88" t="s">
        <v>16</v>
      </c>
      <c r="I88" t="str">
        <f t="shared" si="1"/>
        <v>11/01/2025</v>
      </c>
    </row>
    <row r="89" spans="1:9" x14ac:dyDescent="0.25">
      <c r="A89" t="s">
        <v>93</v>
      </c>
      <c r="B89" t="s">
        <v>96</v>
      </c>
      <c r="C89">
        <v>6</v>
      </c>
      <c r="D89" t="s">
        <v>18</v>
      </c>
      <c r="E89" s="7">
        <v>45668</v>
      </c>
      <c r="F89" t="s">
        <v>1</v>
      </c>
      <c r="G89" t="s">
        <v>0</v>
      </c>
      <c r="H89" t="s">
        <v>16</v>
      </c>
      <c r="I89" t="str">
        <f t="shared" si="1"/>
        <v>11/01/2025</v>
      </c>
    </row>
    <row r="90" spans="1:9" x14ac:dyDescent="0.25">
      <c r="A90" t="s">
        <v>93</v>
      </c>
      <c r="B90" t="s">
        <v>21</v>
      </c>
      <c r="C90">
        <v>8.75</v>
      </c>
      <c r="D90" t="s">
        <v>18</v>
      </c>
      <c r="E90" s="7">
        <v>45668</v>
      </c>
      <c r="F90" t="s">
        <v>1</v>
      </c>
      <c r="G90" t="s">
        <v>0</v>
      </c>
      <c r="H90" t="s">
        <v>16</v>
      </c>
      <c r="I90" t="str">
        <f t="shared" si="1"/>
        <v>11/01/2025</v>
      </c>
    </row>
    <row r="91" spans="1:9" x14ac:dyDescent="0.25">
      <c r="B91" t="s">
        <v>21</v>
      </c>
      <c r="C91">
        <v>11.12</v>
      </c>
      <c r="D91" t="s">
        <v>18</v>
      </c>
      <c r="E91" s="7">
        <v>45675</v>
      </c>
      <c r="F91" t="s">
        <v>1</v>
      </c>
      <c r="G91" t="s">
        <v>0</v>
      </c>
      <c r="H91" t="s">
        <v>16</v>
      </c>
      <c r="I91" t="str">
        <f t="shared" si="1"/>
        <v>18/01/2025</v>
      </c>
    </row>
    <row r="92" spans="1:9" x14ac:dyDescent="0.25">
      <c r="B92" t="s">
        <v>97</v>
      </c>
      <c r="C92">
        <v>25.23</v>
      </c>
      <c r="D92" t="s">
        <v>18</v>
      </c>
      <c r="E92" s="7">
        <v>45665</v>
      </c>
      <c r="F92" t="s">
        <v>1</v>
      </c>
      <c r="G92" t="s">
        <v>27</v>
      </c>
      <c r="H92" t="s">
        <v>16</v>
      </c>
      <c r="I92" t="str">
        <f t="shared" si="1"/>
        <v>08/01/2025</v>
      </c>
    </row>
    <row r="93" spans="1:9" x14ac:dyDescent="0.25">
      <c r="B93" t="s">
        <v>98</v>
      </c>
      <c r="C93">
        <v>27</v>
      </c>
      <c r="D93" t="s">
        <v>18</v>
      </c>
      <c r="E93" s="7">
        <v>45669</v>
      </c>
      <c r="F93" t="s">
        <v>1</v>
      </c>
      <c r="G93" t="s">
        <v>27</v>
      </c>
      <c r="H93" t="s">
        <v>16</v>
      </c>
      <c r="I93" t="str">
        <f t="shared" si="1"/>
        <v>12/01/2025</v>
      </c>
    </row>
    <row r="94" spans="1:9" x14ac:dyDescent="0.25">
      <c r="B94" t="s">
        <v>21</v>
      </c>
      <c r="C94">
        <v>12.06</v>
      </c>
      <c r="D94" t="s">
        <v>18</v>
      </c>
      <c r="E94" s="7">
        <v>45699</v>
      </c>
      <c r="F94" t="s">
        <v>1</v>
      </c>
      <c r="G94" t="s">
        <v>0</v>
      </c>
      <c r="H94" t="s">
        <v>16</v>
      </c>
      <c r="I94" t="str">
        <f t="shared" si="1"/>
        <v>11/02/2025</v>
      </c>
    </row>
    <row r="95" spans="1:9" x14ac:dyDescent="0.25">
      <c r="B95" t="s">
        <v>21</v>
      </c>
      <c r="C95">
        <v>17.899999999999999</v>
      </c>
      <c r="D95" t="s">
        <v>18</v>
      </c>
      <c r="E95" s="7">
        <v>45681</v>
      </c>
      <c r="F95" t="s">
        <v>1</v>
      </c>
      <c r="G95" t="s">
        <v>27</v>
      </c>
      <c r="H95" t="s">
        <v>16</v>
      </c>
      <c r="I95" t="str">
        <f t="shared" si="1"/>
        <v>24/01/2025</v>
      </c>
    </row>
    <row r="96" spans="1:9" x14ac:dyDescent="0.25">
      <c r="B96" t="s">
        <v>21</v>
      </c>
      <c r="C96">
        <v>40.29</v>
      </c>
      <c r="D96" t="s">
        <v>18</v>
      </c>
      <c r="E96" s="7">
        <v>45679</v>
      </c>
      <c r="F96" t="s">
        <v>1</v>
      </c>
      <c r="G96" t="s">
        <v>0</v>
      </c>
      <c r="H96" t="s">
        <v>16</v>
      </c>
      <c r="I96" t="str">
        <f t="shared" si="1"/>
        <v>22/01/2025</v>
      </c>
    </row>
    <row r="97" spans="1:9" x14ac:dyDescent="0.25">
      <c r="B97" t="s">
        <v>21</v>
      </c>
      <c r="C97">
        <v>23.07</v>
      </c>
      <c r="D97" t="s">
        <v>18</v>
      </c>
      <c r="E97" s="7">
        <v>45691</v>
      </c>
      <c r="F97" t="s">
        <v>1</v>
      </c>
      <c r="G97" t="s">
        <v>0</v>
      </c>
      <c r="H97" t="s">
        <v>16</v>
      </c>
      <c r="I97" t="str">
        <f t="shared" si="1"/>
        <v>03/02/2025</v>
      </c>
    </row>
    <row r="98" spans="1:9" x14ac:dyDescent="0.25">
      <c r="B98" t="s">
        <v>21</v>
      </c>
      <c r="C98">
        <v>5.18</v>
      </c>
      <c r="D98" t="s">
        <v>18</v>
      </c>
      <c r="E98" s="7">
        <v>45698</v>
      </c>
      <c r="F98" t="s">
        <v>1</v>
      </c>
      <c r="G98" t="s">
        <v>0</v>
      </c>
      <c r="H98" t="s">
        <v>16</v>
      </c>
      <c r="I98" t="str">
        <f t="shared" si="1"/>
        <v>10/02/2025</v>
      </c>
    </row>
    <row r="99" spans="1:9" x14ac:dyDescent="0.25">
      <c r="B99" t="s">
        <v>21</v>
      </c>
      <c r="C99">
        <v>7.8</v>
      </c>
      <c r="D99" t="s">
        <v>18</v>
      </c>
      <c r="E99" s="7">
        <v>45695</v>
      </c>
      <c r="F99" t="s">
        <v>1</v>
      </c>
      <c r="G99" t="s">
        <v>0</v>
      </c>
      <c r="H99" t="s">
        <v>16</v>
      </c>
      <c r="I99" t="str">
        <f t="shared" si="1"/>
        <v>07/02/2025</v>
      </c>
    </row>
    <row r="100" spans="1:9" x14ac:dyDescent="0.25">
      <c r="B100" t="s">
        <v>21</v>
      </c>
      <c r="C100">
        <v>21.96</v>
      </c>
      <c r="D100" t="s">
        <v>18</v>
      </c>
      <c r="E100" s="7">
        <v>45687</v>
      </c>
      <c r="F100" t="s">
        <v>1</v>
      </c>
      <c r="G100" t="s">
        <v>0</v>
      </c>
      <c r="H100" t="s">
        <v>16</v>
      </c>
      <c r="I100" t="str">
        <f t="shared" si="1"/>
        <v>30/01/2025</v>
      </c>
    </row>
    <row r="101" spans="1:9" x14ac:dyDescent="0.25">
      <c r="B101" t="s">
        <v>21</v>
      </c>
      <c r="C101">
        <v>39.42</v>
      </c>
      <c r="D101" t="s">
        <v>18</v>
      </c>
      <c r="E101" s="7">
        <v>45696</v>
      </c>
      <c r="F101" t="s">
        <v>1</v>
      </c>
      <c r="G101" t="s">
        <v>27</v>
      </c>
      <c r="H101" t="s">
        <v>16</v>
      </c>
      <c r="I101" t="str">
        <f t="shared" si="1"/>
        <v>08/02/2025</v>
      </c>
    </row>
    <row r="102" spans="1:9" x14ac:dyDescent="0.25">
      <c r="B102" t="s">
        <v>80</v>
      </c>
      <c r="C102">
        <v>4.5999999999999996</v>
      </c>
      <c r="D102" t="s">
        <v>18</v>
      </c>
      <c r="E102" s="7">
        <v>45685</v>
      </c>
      <c r="F102" t="s">
        <v>1</v>
      </c>
      <c r="G102" t="s">
        <v>27</v>
      </c>
      <c r="H102" t="s">
        <v>16</v>
      </c>
      <c r="I102" t="str">
        <f t="shared" si="1"/>
        <v>28/01/2025</v>
      </c>
    </row>
    <row r="103" spans="1:9" x14ac:dyDescent="0.25">
      <c r="B103" t="s">
        <v>21</v>
      </c>
      <c r="C103">
        <v>35.909999999999997</v>
      </c>
      <c r="D103" t="s">
        <v>18</v>
      </c>
      <c r="E103" s="7">
        <v>45684</v>
      </c>
      <c r="F103" t="s">
        <v>1</v>
      </c>
      <c r="G103" t="s">
        <v>27</v>
      </c>
      <c r="H103" t="s">
        <v>16</v>
      </c>
      <c r="I103" t="str">
        <f t="shared" si="1"/>
        <v>27/01/2025</v>
      </c>
    </row>
    <row r="104" spans="1:9" x14ac:dyDescent="0.25">
      <c r="B104" t="s">
        <v>64</v>
      </c>
      <c r="C104">
        <v>22.35</v>
      </c>
      <c r="D104" t="s">
        <v>18</v>
      </c>
      <c r="E104" s="7">
        <v>45676</v>
      </c>
      <c r="F104" t="s">
        <v>1</v>
      </c>
      <c r="G104" t="s">
        <v>0</v>
      </c>
      <c r="H104" t="s">
        <v>16</v>
      </c>
      <c r="I104" t="str">
        <f t="shared" si="1"/>
        <v>19/01/2025</v>
      </c>
    </row>
    <row r="105" spans="1:9" x14ac:dyDescent="0.25">
      <c r="B105" t="s">
        <v>21</v>
      </c>
      <c r="C105">
        <v>6.03</v>
      </c>
      <c r="D105" t="s">
        <v>18</v>
      </c>
      <c r="E105" s="7">
        <v>45701</v>
      </c>
      <c r="F105" t="s">
        <v>1</v>
      </c>
      <c r="G105" t="s">
        <v>0</v>
      </c>
      <c r="H105" t="s">
        <v>16</v>
      </c>
      <c r="I105" t="str">
        <f t="shared" si="1"/>
        <v>13/02/2025</v>
      </c>
    </row>
    <row r="106" spans="1:9" x14ac:dyDescent="0.25">
      <c r="B106" t="s">
        <v>64</v>
      </c>
      <c r="C106">
        <v>26.2</v>
      </c>
      <c r="D106" t="s">
        <v>18</v>
      </c>
      <c r="E106" s="7">
        <v>45689</v>
      </c>
      <c r="F106" t="s">
        <v>1</v>
      </c>
      <c r="G106" t="s">
        <v>0</v>
      </c>
      <c r="H106" t="s">
        <v>16</v>
      </c>
      <c r="I106" t="str">
        <f t="shared" si="1"/>
        <v>01/02/2025</v>
      </c>
    </row>
    <row r="107" spans="1:9" x14ac:dyDescent="0.25">
      <c r="B107" t="s">
        <v>21</v>
      </c>
      <c r="C107">
        <v>13.37</v>
      </c>
      <c r="D107" t="s">
        <v>18</v>
      </c>
      <c r="E107" s="7">
        <v>45693</v>
      </c>
      <c r="F107" t="s">
        <v>1</v>
      </c>
      <c r="G107" t="s">
        <v>0</v>
      </c>
      <c r="H107" t="s">
        <v>16</v>
      </c>
      <c r="I107" t="str">
        <f t="shared" si="1"/>
        <v>05/02/2025</v>
      </c>
    </row>
    <row r="108" spans="1:9" x14ac:dyDescent="0.25">
      <c r="B108" t="s">
        <v>91</v>
      </c>
      <c r="C108">
        <v>3</v>
      </c>
      <c r="D108" t="s">
        <v>18</v>
      </c>
      <c r="E108" s="7">
        <v>45689</v>
      </c>
      <c r="F108" t="s">
        <v>0</v>
      </c>
      <c r="G108" t="s">
        <v>27</v>
      </c>
      <c r="H108" t="s">
        <v>16</v>
      </c>
      <c r="I108" t="str">
        <f t="shared" si="1"/>
        <v>01/02/2025</v>
      </c>
    </row>
    <row r="109" spans="1:9" x14ac:dyDescent="0.25">
      <c r="B109" t="s">
        <v>99</v>
      </c>
      <c r="C109">
        <v>4.6900000000000004</v>
      </c>
      <c r="D109" t="s">
        <v>18</v>
      </c>
      <c r="E109" s="7">
        <v>45701</v>
      </c>
      <c r="F109" t="s">
        <v>1</v>
      </c>
      <c r="G109" t="s">
        <v>0</v>
      </c>
      <c r="H109" t="s">
        <v>16</v>
      </c>
      <c r="I109" t="str">
        <f t="shared" si="1"/>
        <v>13/02/2025</v>
      </c>
    </row>
    <row r="110" spans="1:9" x14ac:dyDescent="0.25">
      <c r="A110" t="s">
        <v>100</v>
      </c>
      <c r="B110" t="s">
        <v>21</v>
      </c>
      <c r="C110">
        <v>9.2100000000000009</v>
      </c>
      <c r="D110" t="s">
        <v>18</v>
      </c>
      <c r="E110" s="7">
        <v>45694</v>
      </c>
      <c r="F110" t="s">
        <v>1</v>
      </c>
      <c r="G110" t="s">
        <v>0</v>
      </c>
      <c r="H110" t="s">
        <v>16</v>
      </c>
      <c r="I110" t="str">
        <f t="shared" si="1"/>
        <v>06/02/2025</v>
      </c>
    </row>
    <row r="111" spans="1:9" x14ac:dyDescent="0.25">
      <c r="A111" t="s">
        <v>100</v>
      </c>
      <c r="B111" t="s">
        <v>64</v>
      </c>
      <c r="C111">
        <v>32.1</v>
      </c>
      <c r="D111" t="s">
        <v>18</v>
      </c>
      <c r="E111" s="7">
        <v>45694</v>
      </c>
      <c r="F111" t="s">
        <v>1</v>
      </c>
      <c r="G111" t="s">
        <v>0</v>
      </c>
      <c r="H111" t="s">
        <v>16</v>
      </c>
      <c r="I111" t="str">
        <f t="shared" si="1"/>
        <v>06/02/2025</v>
      </c>
    </row>
    <row r="112" spans="1:9" x14ac:dyDescent="0.25">
      <c r="A112" t="s">
        <v>100</v>
      </c>
      <c r="B112" t="s">
        <v>101</v>
      </c>
      <c r="C112">
        <v>43</v>
      </c>
      <c r="D112" t="s">
        <v>18</v>
      </c>
      <c r="E112" s="7">
        <v>45695</v>
      </c>
      <c r="F112" t="s">
        <v>1</v>
      </c>
      <c r="G112" t="s">
        <v>27</v>
      </c>
      <c r="H112" t="s">
        <v>16</v>
      </c>
      <c r="I112" t="str">
        <f t="shared" si="1"/>
        <v>07/02/2025</v>
      </c>
    </row>
    <row r="113" spans="1:9" x14ac:dyDescent="0.25">
      <c r="A113" t="s">
        <v>100</v>
      </c>
      <c r="B113" t="s">
        <v>102</v>
      </c>
      <c r="C113">
        <v>30</v>
      </c>
      <c r="D113" t="s">
        <v>18</v>
      </c>
      <c r="E113" s="7">
        <v>45694</v>
      </c>
      <c r="F113" t="s">
        <v>1</v>
      </c>
      <c r="G113" t="s">
        <v>27</v>
      </c>
      <c r="H113" t="s">
        <v>16</v>
      </c>
      <c r="I113" t="str">
        <f t="shared" si="1"/>
        <v>06/02/2025</v>
      </c>
    </row>
    <row r="114" spans="1:9" x14ac:dyDescent="0.25">
      <c r="A114" t="s">
        <v>100</v>
      </c>
      <c r="B114" t="s">
        <v>103</v>
      </c>
      <c r="C114">
        <v>2.5</v>
      </c>
      <c r="D114" t="s">
        <v>18</v>
      </c>
      <c r="E114" s="7">
        <v>45694</v>
      </c>
      <c r="F114" t="s">
        <v>0</v>
      </c>
      <c r="G114" t="s">
        <v>0</v>
      </c>
      <c r="H114" t="s">
        <v>16</v>
      </c>
      <c r="I114" t="str">
        <f t="shared" si="1"/>
        <v>06/02/2025</v>
      </c>
    </row>
    <row r="115" spans="1:9" x14ac:dyDescent="0.25">
      <c r="A115" t="s">
        <v>100</v>
      </c>
      <c r="B115" t="s">
        <v>104</v>
      </c>
      <c r="C115">
        <v>3.2</v>
      </c>
      <c r="D115" t="s">
        <v>18</v>
      </c>
      <c r="E115" s="7">
        <v>45694</v>
      </c>
      <c r="F115" t="s">
        <v>1</v>
      </c>
      <c r="G115" t="s">
        <v>0</v>
      </c>
      <c r="H115" t="s">
        <v>16</v>
      </c>
      <c r="I115" t="str">
        <f t="shared" si="1"/>
        <v>06/02/2025</v>
      </c>
    </row>
    <row r="116" spans="1:9" x14ac:dyDescent="0.25">
      <c r="B116" t="s">
        <v>60</v>
      </c>
      <c r="C116">
        <v>10</v>
      </c>
      <c r="D116" s="2" t="s">
        <v>18</v>
      </c>
      <c r="E116" s="7">
        <v>45693</v>
      </c>
      <c r="F116" t="s">
        <v>0</v>
      </c>
      <c r="G116" t="s">
        <v>0</v>
      </c>
      <c r="H116" t="s">
        <v>16</v>
      </c>
      <c r="I116" t="str">
        <f t="shared" si="1"/>
        <v>05/02/2025</v>
      </c>
    </row>
    <row r="117" spans="1:9" x14ac:dyDescent="0.25">
      <c r="A117" t="s">
        <v>100</v>
      </c>
      <c r="B117" t="s">
        <v>105</v>
      </c>
      <c r="C117">
        <v>38.18</v>
      </c>
      <c r="D117" t="s">
        <v>18</v>
      </c>
      <c r="E117" s="7">
        <v>45693</v>
      </c>
      <c r="F117" t="s">
        <v>1</v>
      </c>
      <c r="G117" t="s">
        <v>59</v>
      </c>
      <c r="H117" t="s">
        <v>16</v>
      </c>
      <c r="I117" t="str">
        <f t="shared" si="1"/>
        <v>05/02/2025</v>
      </c>
    </row>
    <row r="118" spans="1:9" x14ac:dyDescent="0.25">
      <c r="A118" t="s">
        <v>100</v>
      </c>
      <c r="B118" t="s">
        <v>106</v>
      </c>
      <c r="C118">
        <v>23</v>
      </c>
      <c r="D118" t="s">
        <v>18</v>
      </c>
      <c r="E118" s="7">
        <v>45694</v>
      </c>
      <c r="F118" t="s">
        <v>1</v>
      </c>
      <c r="G118" t="s">
        <v>27</v>
      </c>
      <c r="H118" t="s">
        <v>16</v>
      </c>
      <c r="I118" t="str">
        <f t="shared" si="1"/>
        <v>06/02/2025</v>
      </c>
    </row>
    <row r="119" spans="1:9" x14ac:dyDescent="0.25">
      <c r="A119" t="s">
        <v>100</v>
      </c>
      <c r="B119" t="s">
        <v>80</v>
      </c>
      <c r="C119">
        <v>5.15</v>
      </c>
      <c r="D119" t="s">
        <v>18</v>
      </c>
      <c r="E119" s="7">
        <v>45695</v>
      </c>
      <c r="F119" t="s">
        <v>1</v>
      </c>
      <c r="G119" t="s">
        <v>27</v>
      </c>
      <c r="H119" t="s">
        <v>16</v>
      </c>
      <c r="I119" t="str">
        <f t="shared" si="1"/>
        <v>07/02/2025</v>
      </c>
    </row>
    <row r="120" spans="1:9" x14ac:dyDescent="0.25">
      <c r="A120" t="s">
        <v>100</v>
      </c>
      <c r="B120" t="s">
        <v>107</v>
      </c>
      <c r="C120">
        <v>66.260000000000005</v>
      </c>
      <c r="D120" t="s">
        <v>18</v>
      </c>
      <c r="E120" s="7">
        <v>45690</v>
      </c>
      <c r="F120" t="s">
        <v>1</v>
      </c>
      <c r="G120" t="s">
        <v>0</v>
      </c>
      <c r="H120" t="s">
        <v>16</v>
      </c>
      <c r="I120" t="str">
        <f t="shared" si="1"/>
        <v>02/02/2025</v>
      </c>
    </row>
    <row r="121" spans="1:9" x14ac:dyDescent="0.25">
      <c r="B121" t="s">
        <v>64</v>
      </c>
      <c r="C121">
        <v>22.55</v>
      </c>
      <c r="D121" t="s">
        <v>18</v>
      </c>
      <c r="E121" s="7">
        <v>45716</v>
      </c>
      <c r="F121" t="s">
        <v>1</v>
      </c>
      <c r="G121" t="s">
        <v>0</v>
      </c>
      <c r="H121" t="s">
        <v>16</v>
      </c>
      <c r="I121" t="str">
        <f t="shared" si="1"/>
        <v>28/02/2025</v>
      </c>
    </row>
    <row r="122" spans="1:9" x14ac:dyDescent="0.25">
      <c r="B122" t="s">
        <v>22</v>
      </c>
      <c r="C122">
        <v>320</v>
      </c>
      <c r="D122" t="s">
        <v>18</v>
      </c>
      <c r="E122" s="7">
        <v>45693</v>
      </c>
      <c r="F122" t="s">
        <v>0</v>
      </c>
      <c r="G122" t="s">
        <v>27</v>
      </c>
      <c r="H122" t="s">
        <v>16</v>
      </c>
      <c r="I122" t="str">
        <f t="shared" si="1"/>
        <v>05/02/2025</v>
      </c>
    </row>
    <row r="123" spans="1:9" x14ac:dyDescent="0.25">
      <c r="B123" t="s">
        <v>21</v>
      </c>
      <c r="C123">
        <v>20.13</v>
      </c>
      <c r="D123" t="s">
        <v>18</v>
      </c>
      <c r="E123" s="7">
        <v>45714</v>
      </c>
      <c r="F123" t="s">
        <v>1</v>
      </c>
      <c r="G123" t="s">
        <v>0</v>
      </c>
      <c r="H123" t="s">
        <v>16</v>
      </c>
      <c r="I123" t="str">
        <f t="shared" si="1"/>
        <v>26/02/2025</v>
      </c>
    </row>
    <row r="124" spans="1:9" x14ac:dyDescent="0.25">
      <c r="B124" t="s">
        <v>21</v>
      </c>
      <c r="C124">
        <v>17.73</v>
      </c>
      <c r="D124" t="s">
        <v>18</v>
      </c>
      <c r="E124" s="7">
        <v>45703</v>
      </c>
      <c r="F124" t="s">
        <v>1</v>
      </c>
      <c r="G124" t="s">
        <v>27</v>
      </c>
      <c r="H124" t="s">
        <v>16</v>
      </c>
      <c r="I124" t="str">
        <f t="shared" si="1"/>
        <v>15/02/2025</v>
      </c>
    </row>
    <row r="125" spans="1:9" x14ac:dyDescent="0.25">
      <c r="B125" t="s">
        <v>21</v>
      </c>
      <c r="C125">
        <v>11.88</v>
      </c>
      <c r="D125" t="s">
        <v>18</v>
      </c>
      <c r="E125" s="7">
        <v>45703</v>
      </c>
      <c r="F125" t="s">
        <v>1</v>
      </c>
      <c r="G125" t="s">
        <v>0</v>
      </c>
      <c r="H125" t="s">
        <v>16</v>
      </c>
      <c r="I125" t="str">
        <f t="shared" si="1"/>
        <v>15/02/2025</v>
      </c>
    </row>
    <row r="126" spans="1:9" x14ac:dyDescent="0.25">
      <c r="B126" t="s">
        <v>21</v>
      </c>
      <c r="C126">
        <v>21.32</v>
      </c>
      <c r="D126" t="s">
        <v>18</v>
      </c>
      <c r="E126" s="7">
        <v>45702</v>
      </c>
      <c r="F126" t="s">
        <v>1</v>
      </c>
      <c r="G126" t="s">
        <v>0</v>
      </c>
      <c r="H126" t="s">
        <v>16</v>
      </c>
      <c r="I126" t="str">
        <f t="shared" si="1"/>
        <v>14/02/2025</v>
      </c>
    </row>
    <row r="127" spans="1:9" x14ac:dyDescent="0.25">
      <c r="B127" t="s">
        <v>108</v>
      </c>
      <c r="C127">
        <v>8.18</v>
      </c>
      <c r="D127" t="s">
        <v>18</v>
      </c>
      <c r="E127" s="7">
        <v>45710</v>
      </c>
      <c r="F127" t="s">
        <v>1</v>
      </c>
      <c r="G127" t="s">
        <v>0</v>
      </c>
      <c r="H127" t="s">
        <v>16</v>
      </c>
      <c r="I127" t="str">
        <f t="shared" si="1"/>
        <v>22/02/2025</v>
      </c>
    </row>
    <row r="128" spans="1:9" x14ac:dyDescent="0.25">
      <c r="B128" t="s">
        <v>109</v>
      </c>
      <c r="C128">
        <v>16.32</v>
      </c>
      <c r="D128" t="s">
        <v>18</v>
      </c>
      <c r="E128" s="7">
        <v>45705</v>
      </c>
      <c r="F128" t="s">
        <v>0</v>
      </c>
      <c r="G128" t="s">
        <v>27</v>
      </c>
      <c r="H128" t="s">
        <v>16</v>
      </c>
      <c r="I128" t="str">
        <f t="shared" si="1"/>
        <v>17/02/2025</v>
      </c>
    </row>
    <row r="129" spans="2:9" x14ac:dyDescent="0.25">
      <c r="B129" t="s">
        <v>21</v>
      </c>
      <c r="C129">
        <v>18.25</v>
      </c>
      <c r="D129" t="s">
        <v>18</v>
      </c>
      <c r="E129" s="7">
        <v>45705</v>
      </c>
      <c r="F129" t="s">
        <v>1</v>
      </c>
      <c r="G129" t="s">
        <v>0</v>
      </c>
      <c r="H129" t="s">
        <v>16</v>
      </c>
      <c r="I129" t="str">
        <f t="shared" si="1"/>
        <v>17/02/2025</v>
      </c>
    </row>
    <row r="130" spans="2:9" x14ac:dyDescent="0.25">
      <c r="B130" t="s">
        <v>21</v>
      </c>
      <c r="C130">
        <v>7.18</v>
      </c>
      <c r="D130" t="s">
        <v>18</v>
      </c>
      <c r="E130" s="7">
        <v>45710</v>
      </c>
      <c r="F130" t="s">
        <v>1</v>
      </c>
      <c r="G130" t="s">
        <v>0</v>
      </c>
      <c r="H130" t="s">
        <v>16</v>
      </c>
      <c r="I130" t="str">
        <f t="shared" si="1"/>
        <v>22/02/2025</v>
      </c>
    </row>
    <row r="131" spans="2:9" x14ac:dyDescent="0.25">
      <c r="B131" t="s">
        <v>21</v>
      </c>
      <c r="C131">
        <v>35.69</v>
      </c>
      <c r="D131" t="s">
        <v>18</v>
      </c>
      <c r="E131" s="7">
        <v>45710</v>
      </c>
      <c r="F131" t="s">
        <v>1</v>
      </c>
      <c r="G131" t="s">
        <v>0</v>
      </c>
      <c r="H131" t="s">
        <v>16</v>
      </c>
      <c r="I131" t="str">
        <f t="shared" ref="I131:I194" si="2">TEXT(E131,"dd/mm/aaaa")</f>
        <v>22/02/2025</v>
      </c>
    </row>
    <row r="132" spans="2:9" x14ac:dyDescent="0.25">
      <c r="B132" t="s">
        <v>64</v>
      </c>
      <c r="C132">
        <v>17.7</v>
      </c>
      <c r="D132" t="s">
        <v>18</v>
      </c>
      <c r="E132" s="7">
        <v>45710</v>
      </c>
      <c r="F132" t="s">
        <v>1</v>
      </c>
      <c r="G132" t="s">
        <v>0</v>
      </c>
      <c r="H132" t="s">
        <v>16</v>
      </c>
      <c r="I132" t="str">
        <f t="shared" si="2"/>
        <v>22/02/2025</v>
      </c>
    </row>
    <row r="133" spans="2:9" x14ac:dyDescent="0.25">
      <c r="B133" t="s">
        <v>21</v>
      </c>
      <c r="C133">
        <v>16.149999999999999</v>
      </c>
      <c r="D133" t="s">
        <v>18</v>
      </c>
      <c r="E133" s="7">
        <v>45709</v>
      </c>
      <c r="F133" t="s">
        <v>1</v>
      </c>
      <c r="G133" t="s">
        <v>0</v>
      </c>
      <c r="H133" t="s">
        <v>16</v>
      </c>
      <c r="I133" t="str">
        <f t="shared" si="2"/>
        <v>21/02/2025</v>
      </c>
    </row>
    <row r="134" spans="2:9" x14ac:dyDescent="0.25">
      <c r="B134" t="s">
        <v>21</v>
      </c>
      <c r="C134">
        <v>34.89</v>
      </c>
      <c r="D134" t="s">
        <v>18</v>
      </c>
      <c r="E134" s="7">
        <v>45707</v>
      </c>
      <c r="F134" t="s">
        <v>1</v>
      </c>
      <c r="G134" t="s">
        <v>0</v>
      </c>
      <c r="H134" t="s">
        <v>16</v>
      </c>
      <c r="I134" t="str">
        <f t="shared" si="2"/>
        <v>19/02/2025</v>
      </c>
    </row>
    <row r="135" spans="2:9" x14ac:dyDescent="0.25">
      <c r="B135" t="s">
        <v>21</v>
      </c>
      <c r="C135">
        <v>18.079999999999998</v>
      </c>
      <c r="D135" t="s">
        <v>18</v>
      </c>
      <c r="E135" s="7">
        <v>45719</v>
      </c>
      <c r="F135" t="s">
        <v>1</v>
      </c>
      <c r="G135" t="s">
        <v>0</v>
      </c>
      <c r="H135" t="s">
        <v>16</v>
      </c>
      <c r="I135" t="str">
        <f t="shared" si="2"/>
        <v>03/03/2025</v>
      </c>
    </row>
    <row r="136" spans="2:9" x14ac:dyDescent="0.25">
      <c r="B136" t="s">
        <v>21</v>
      </c>
      <c r="C136">
        <v>38.020000000000003</v>
      </c>
      <c r="D136" t="s">
        <v>18</v>
      </c>
      <c r="E136" s="7">
        <v>45717</v>
      </c>
      <c r="F136" t="s">
        <v>1</v>
      </c>
      <c r="G136" t="s">
        <v>0</v>
      </c>
      <c r="H136" t="s">
        <v>16</v>
      </c>
      <c r="I136" t="str">
        <f t="shared" si="2"/>
        <v>01/03/2025</v>
      </c>
    </row>
    <row r="137" spans="2:9" x14ac:dyDescent="0.25">
      <c r="B137" t="s">
        <v>21</v>
      </c>
      <c r="C137">
        <v>18.87</v>
      </c>
      <c r="D137" t="s">
        <v>18</v>
      </c>
      <c r="E137" s="7">
        <v>45721</v>
      </c>
      <c r="F137" t="s">
        <v>1</v>
      </c>
      <c r="G137" t="s">
        <v>0</v>
      </c>
      <c r="H137" t="s">
        <v>16</v>
      </c>
      <c r="I137" t="str">
        <f t="shared" si="2"/>
        <v>05/03/2025</v>
      </c>
    </row>
    <row r="138" spans="2:9" x14ac:dyDescent="0.25">
      <c r="B138" t="s">
        <v>64</v>
      </c>
      <c r="C138">
        <v>21.5</v>
      </c>
      <c r="D138" t="s">
        <v>18</v>
      </c>
      <c r="E138" s="7">
        <v>45722</v>
      </c>
      <c r="F138" t="s">
        <v>1</v>
      </c>
      <c r="G138" t="s">
        <v>0</v>
      </c>
      <c r="H138" t="s">
        <v>16</v>
      </c>
      <c r="I138" t="str">
        <f t="shared" si="2"/>
        <v>06/03/2025</v>
      </c>
    </row>
    <row r="139" spans="2:9" x14ac:dyDescent="0.25">
      <c r="B139" t="s">
        <v>21</v>
      </c>
      <c r="C139">
        <v>13.71</v>
      </c>
      <c r="D139" t="s">
        <v>18</v>
      </c>
      <c r="E139" s="7">
        <v>45723</v>
      </c>
      <c r="F139" t="s">
        <v>1</v>
      </c>
      <c r="G139" t="s">
        <v>27</v>
      </c>
      <c r="H139" t="s">
        <v>16</v>
      </c>
      <c r="I139" t="str">
        <f t="shared" si="2"/>
        <v>07/03/2025</v>
      </c>
    </row>
    <row r="140" spans="2:9" x14ac:dyDescent="0.25">
      <c r="B140" t="s">
        <v>21</v>
      </c>
      <c r="C140">
        <v>24.87</v>
      </c>
      <c r="D140" t="s">
        <v>18</v>
      </c>
      <c r="E140" s="7">
        <v>45724</v>
      </c>
      <c r="F140" t="s">
        <v>1</v>
      </c>
      <c r="G140" t="s">
        <v>0</v>
      </c>
      <c r="H140" t="s">
        <v>16</v>
      </c>
      <c r="I140" t="str">
        <f t="shared" si="2"/>
        <v>08/03/2025</v>
      </c>
    </row>
    <row r="141" spans="2:9" x14ac:dyDescent="0.25">
      <c r="B141" t="s">
        <v>22</v>
      </c>
      <c r="C141">
        <v>660</v>
      </c>
      <c r="D141" t="s">
        <v>18</v>
      </c>
      <c r="E141" s="7">
        <v>45724</v>
      </c>
      <c r="F141" t="s">
        <v>1</v>
      </c>
      <c r="G141" t="s">
        <v>27</v>
      </c>
      <c r="H141" t="s">
        <v>16</v>
      </c>
      <c r="I141" t="str">
        <f t="shared" si="2"/>
        <v>08/03/2025</v>
      </c>
    </row>
    <row r="142" spans="2:9" x14ac:dyDescent="0.25">
      <c r="B142" t="s">
        <v>57</v>
      </c>
      <c r="C142">
        <v>20</v>
      </c>
      <c r="D142" t="s">
        <v>18</v>
      </c>
      <c r="E142" s="7">
        <v>45717</v>
      </c>
      <c r="F142" t="s">
        <v>1</v>
      </c>
      <c r="G142" t="s">
        <v>27</v>
      </c>
      <c r="H142" t="s">
        <v>16</v>
      </c>
      <c r="I142" t="str">
        <f t="shared" si="2"/>
        <v>01/03/2025</v>
      </c>
    </row>
    <row r="143" spans="2:9" x14ac:dyDescent="0.25">
      <c r="B143" t="s">
        <v>110</v>
      </c>
      <c r="C143">
        <v>20</v>
      </c>
      <c r="D143" t="s">
        <v>18</v>
      </c>
      <c r="E143" s="7">
        <v>45717</v>
      </c>
      <c r="F143" t="s">
        <v>1</v>
      </c>
      <c r="G143" t="s">
        <v>27</v>
      </c>
      <c r="H143" t="s">
        <v>16</v>
      </c>
      <c r="I143" t="str">
        <f t="shared" si="2"/>
        <v>01/03/2025</v>
      </c>
    </row>
    <row r="144" spans="2:9" x14ac:dyDescent="0.25">
      <c r="B144" t="s">
        <v>78</v>
      </c>
      <c r="C144">
        <v>10.7</v>
      </c>
      <c r="D144" t="s">
        <v>18</v>
      </c>
      <c r="E144" s="7">
        <v>45702</v>
      </c>
      <c r="F144" t="s">
        <v>1</v>
      </c>
      <c r="G144" t="s">
        <v>0</v>
      </c>
      <c r="H144" t="s">
        <v>16</v>
      </c>
      <c r="I144" t="str">
        <f t="shared" si="2"/>
        <v>14/02/2025</v>
      </c>
    </row>
    <row r="145" spans="1:9" x14ac:dyDescent="0.25">
      <c r="B145" t="s">
        <v>111</v>
      </c>
      <c r="C145">
        <v>4.8</v>
      </c>
      <c r="D145" t="s">
        <v>18</v>
      </c>
      <c r="E145" s="7">
        <v>45711</v>
      </c>
      <c r="F145" t="s">
        <v>1</v>
      </c>
      <c r="G145" t="s">
        <v>0</v>
      </c>
      <c r="H145" t="s">
        <v>16</v>
      </c>
      <c r="I145" t="str">
        <f t="shared" si="2"/>
        <v>23/02/2025</v>
      </c>
    </row>
    <row r="146" spans="1:9" x14ac:dyDescent="0.25">
      <c r="B146" t="s">
        <v>108</v>
      </c>
      <c r="C146">
        <v>6.8</v>
      </c>
      <c r="D146" t="s">
        <v>18</v>
      </c>
      <c r="E146" s="7">
        <v>45717</v>
      </c>
      <c r="F146" t="s">
        <v>1</v>
      </c>
      <c r="G146" t="s">
        <v>0</v>
      </c>
      <c r="H146" t="s">
        <v>16</v>
      </c>
      <c r="I146" t="str">
        <f t="shared" si="2"/>
        <v>01/03/2025</v>
      </c>
    </row>
    <row r="147" spans="1:9" x14ac:dyDescent="0.25">
      <c r="A147" t="s">
        <v>113</v>
      </c>
      <c r="B147" t="s">
        <v>112</v>
      </c>
      <c r="C147">
        <v>168.19</v>
      </c>
      <c r="D147" t="s">
        <v>18</v>
      </c>
      <c r="E147" s="7">
        <v>45717</v>
      </c>
      <c r="F147" t="s">
        <v>1</v>
      </c>
      <c r="G147" t="s">
        <v>0</v>
      </c>
      <c r="H147" t="s">
        <v>16</v>
      </c>
      <c r="I147" t="str">
        <f t="shared" si="2"/>
        <v>01/03/2025</v>
      </c>
    </row>
    <row r="148" spans="1:9" x14ac:dyDescent="0.25">
      <c r="A148" t="s">
        <v>113</v>
      </c>
      <c r="B148" t="s">
        <v>114</v>
      </c>
      <c r="C148">
        <v>112.4</v>
      </c>
      <c r="D148" t="s">
        <v>18</v>
      </c>
      <c r="E148" s="7">
        <v>45717</v>
      </c>
      <c r="F148" t="s">
        <v>1</v>
      </c>
      <c r="G148" t="s">
        <v>0</v>
      </c>
      <c r="H148" t="s">
        <v>16</v>
      </c>
      <c r="I148" t="str">
        <f t="shared" si="2"/>
        <v>01/03/2025</v>
      </c>
    </row>
    <row r="149" spans="1:9" x14ac:dyDescent="0.25">
      <c r="A149" t="s">
        <v>113</v>
      </c>
      <c r="B149" t="s">
        <v>115</v>
      </c>
      <c r="C149">
        <v>12.6</v>
      </c>
      <c r="D149" t="s">
        <v>18</v>
      </c>
      <c r="E149" s="7">
        <v>45722</v>
      </c>
      <c r="F149" t="s">
        <v>1</v>
      </c>
      <c r="G149" t="s">
        <v>59</v>
      </c>
      <c r="H149" t="s">
        <v>16</v>
      </c>
      <c r="I149" t="str">
        <f t="shared" si="2"/>
        <v>06/03/2025</v>
      </c>
    </row>
    <row r="150" spans="1:9" x14ac:dyDescent="0.25">
      <c r="A150" t="s">
        <v>113</v>
      </c>
      <c r="B150" t="s">
        <v>116</v>
      </c>
      <c r="C150">
        <v>180</v>
      </c>
      <c r="D150" t="s">
        <v>18</v>
      </c>
      <c r="E150" s="7">
        <v>45717</v>
      </c>
      <c r="F150" t="s">
        <v>1</v>
      </c>
      <c r="G150" t="s">
        <v>27</v>
      </c>
      <c r="H150" t="s">
        <v>16</v>
      </c>
      <c r="I150" t="str">
        <f t="shared" si="2"/>
        <v>01/03/2025</v>
      </c>
    </row>
    <row r="151" spans="1:9" x14ac:dyDescent="0.25">
      <c r="A151" t="s">
        <v>113</v>
      </c>
      <c r="B151" t="s">
        <v>117</v>
      </c>
      <c r="C151">
        <v>76.3</v>
      </c>
      <c r="D151" t="s">
        <v>18</v>
      </c>
      <c r="E151" s="7">
        <v>45717</v>
      </c>
      <c r="F151" t="s">
        <v>1</v>
      </c>
      <c r="G151" t="s">
        <v>27</v>
      </c>
      <c r="H151" t="s">
        <v>16</v>
      </c>
      <c r="I151" t="str">
        <f t="shared" si="2"/>
        <v>01/03/2025</v>
      </c>
    </row>
    <row r="152" spans="1:9" x14ac:dyDescent="0.25">
      <c r="A152" t="s">
        <v>113</v>
      </c>
      <c r="B152" t="s">
        <v>118</v>
      </c>
      <c r="C152">
        <v>80.180000000000007</v>
      </c>
      <c r="D152" t="s">
        <v>18</v>
      </c>
      <c r="E152" s="7">
        <v>45725</v>
      </c>
      <c r="F152" t="s">
        <v>1</v>
      </c>
      <c r="G152" t="s">
        <v>27</v>
      </c>
      <c r="H152" t="s">
        <v>16</v>
      </c>
      <c r="I152" t="str">
        <f t="shared" si="2"/>
        <v>09/03/2025</v>
      </c>
    </row>
    <row r="153" spans="1:9" x14ac:dyDescent="0.25">
      <c r="A153" t="s">
        <v>113</v>
      </c>
      <c r="B153" t="s">
        <v>119</v>
      </c>
      <c r="C153">
        <v>29.47</v>
      </c>
      <c r="D153" t="s">
        <v>18</v>
      </c>
      <c r="E153" s="7">
        <v>45725</v>
      </c>
      <c r="F153" t="s">
        <v>1</v>
      </c>
      <c r="G153" t="s">
        <v>0</v>
      </c>
      <c r="H153" t="s">
        <v>16</v>
      </c>
      <c r="I153" t="str">
        <f t="shared" si="2"/>
        <v>09/03/2025</v>
      </c>
    </row>
    <row r="154" spans="1:9" x14ac:dyDescent="0.25">
      <c r="A154" t="s">
        <v>113</v>
      </c>
      <c r="B154" t="s">
        <v>120</v>
      </c>
      <c r="C154">
        <v>166</v>
      </c>
      <c r="D154" t="s">
        <v>18</v>
      </c>
      <c r="E154" s="7">
        <v>45725</v>
      </c>
      <c r="F154" t="s">
        <v>1</v>
      </c>
      <c r="G154" t="s">
        <v>27</v>
      </c>
      <c r="H154" t="s">
        <v>16</v>
      </c>
      <c r="I154" t="str">
        <f t="shared" si="2"/>
        <v>09/03/2025</v>
      </c>
    </row>
    <row r="155" spans="1:9" x14ac:dyDescent="0.25">
      <c r="A155" t="s">
        <v>113</v>
      </c>
      <c r="B155" t="s">
        <v>121</v>
      </c>
      <c r="C155">
        <v>65.5</v>
      </c>
      <c r="D155" t="s">
        <v>18</v>
      </c>
      <c r="E155" s="7">
        <v>45725</v>
      </c>
      <c r="F155" t="s">
        <v>1</v>
      </c>
      <c r="G155" t="s">
        <v>27</v>
      </c>
      <c r="H155" t="s">
        <v>16</v>
      </c>
      <c r="I155" t="str">
        <f t="shared" si="2"/>
        <v>09/03/2025</v>
      </c>
    </row>
    <row r="156" spans="1:9" x14ac:dyDescent="0.25">
      <c r="A156" t="s">
        <v>113</v>
      </c>
      <c r="B156" t="s">
        <v>122</v>
      </c>
      <c r="C156">
        <v>45.8</v>
      </c>
      <c r="D156" t="s">
        <v>18</v>
      </c>
      <c r="E156" s="7">
        <v>45725</v>
      </c>
      <c r="F156" t="s">
        <v>1</v>
      </c>
      <c r="G156" t="s">
        <v>59</v>
      </c>
      <c r="H156" t="s">
        <v>16</v>
      </c>
      <c r="I156" t="str">
        <f t="shared" si="2"/>
        <v>09/03/2025</v>
      </c>
    </row>
    <row r="157" spans="1:9" x14ac:dyDescent="0.25">
      <c r="A157" t="s">
        <v>113</v>
      </c>
      <c r="B157" t="s">
        <v>123</v>
      </c>
      <c r="C157">
        <v>151.19999999999999</v>
      </c>
      <c r="D157" t="s">
        <v>18</v>
      </c>
      <c r="E157" s="7">
        <v>45725</v>
      </c>
      <c r="F157" t="s">
        <v>1</v>
      </c>
      <c r="G157" t="s">
        <v>27</v>
      </c>
      <c r="H157" t="s">
        <v>16</v>
      </c>
      <c r="I157" t="str">
        <f t="shared" si="2"/>
        <v>09/03/2025</v>
      </c>
    </row>
    <row r="158" spans="1:9" x14ac:dyDescent="0.25">
      <c r="A158" t="s">
        <v>113</v>
      </c>
      <c r="B158" t="s">
        <v>124</v>
      </c>
      <c r="C158">
        <v>87</v>
      </c>
      <c r="D158" t="s">
        <v>18</v>
      </c>
      <c r="E158" s="7">
        <v>45741</v>
      </c>
      <c r="F158" t="s">
        <v>1</v>
      </c>
      <c r="G158" t="s">
        <v>0</v>
      </c>
      <c r="H158" t="s">
        <v>16</v>
      </c>
      <c r="I158" t="str">
        <f t="shared" si="2"/>
        <v>25/03/2025</v>
      </c>
    </row>
    <row r="159" spans="1:9" x14ac:dyDescent="0.25">
      <c r="A159" t="s">
        <v>113</v>
      </c>
      <c r="B159" t="s">
        <v>125</v>
      </c>
      <c r="C159">
        <v>37.72</v>
      </c>
      <c r="D159" t="s">
        <v>18</v>
      </c>
      <c r="E159" s="7">
        <v>45741</v>
      </c>
      <c r="F159" t="s">
        <v>1</v>
      </c>
      <c r="G159" t="s">
        <v>0</v>
      </c>
      <c r="H159" t="s">
        <v>16</v>
      </c>
      <c r="I159" t="str">
        <f t="shared" si="2"/>
        <v>25/03/2025</v>
      </c>
    </row>
    <row r="160" spans="1:9" x14ac:dyDescent="0.25">
      <c r="A160" t="s">
        <v>113</v>
      </c>
      <c r="B160" t="s">
        <v>126</v>
      </c>
      <c r="C160">
        <v>148</v>
      </c>
      <c r="D160" t="s">
        <v>18</v>
      </c>
      <c r="E160" s="7">
        <v>45741</v>
      </c>
      <c r="F160" t="s">
        <v>1</v>
      </c>
      <c r="G160" t="s">
        <v>27</v>
      </c>
      <c r="H160" t="s">
        <v>16</v>
      </c>
      <c r="I160" t="str">
        <f t="shared" si="2"/>
        <v>25/03/2025</v>
      </c>
    </row>
    <row r="161" spans="1:9" x14ac:dyDescent="0.25">
      <c r="A161" t="s">
        <v>113</v>
      </c>
      <c r="B161" t="s">
        <v>127</v>
      </c>
      <c r="C161">
        <v>25.24</v>
      </c>
      <c r="D161" t="s">
        <v>18</v>
      </c>
      <c r="E161" s="7">
        <v>45741</v>
      </c>
      <c r="F161" t="s">
        <v>1</v>
      </c>
      <c r="G161" t="s">
        <v>0</v>
      </c>
      <c r="H161" t="s">
        <v>16</v>
      </c>
      <c r="I161" t="str">
        <f t="shared" si="2"/>
        <v>25/03/2025</v>
      </c>
    </row>
    <row r="162" spans="1:9" x14ac:dyDescent="0.25">
      <c r="A162" t="s">
        <v>113</v>
      </c>
      <c r="B162" t="s">
        <v>128</v>
      </c>
      <c r="C162">
        <v>109</v>
      </c>
      <c r="D162" t="s">
        <v>18</v>
      </c>
      <c r="E162" s="7">
        <v>45741</v>
      </c>
      <c r="F162" t="s">
        <v>1</v>
      </c>
      <c r="G162" t="s">
        <v>27</v>
      </c>
      <c r="H162" t="s">
        <v>16</v>
      </c>
      <c r="I162" t="str">
        <f t="shared" si="2"/>
        <v>25/03/2025</v>
      </c>
    </row>
    <row r="163" spans="1:9" x14ac:dyDescent="0.25">
      <c r="B163" t="s">
        <v>129</v>
      </c>
      <c r="C163">
        <v>33</v>
      </c>
      <c r="D163" t="s">
        <v>18</v>
      </c>
      <c r="E163" s="7">
        <v>45726</v>
      </c>
      <c r="F163" t="s">
        <v>1</v>
      </c>
      <c r="G163" t="s">
        <v>27</v>
      </c>
      <c r="H163" t="s">
        <v>16</v>
      </c>
      <c r="I163" t="str">
        <f t="shared" si="2"/>
        <v>10/03/2025</v>
      </c>
    </row>
    <row r="164" spans="1:9" x14ac:dyDescent="0.25">
      <c r="B164" t="s">
        <v>21</v>
      </c>
      <c r="C164">
        <v>12.74</v>
      </c>
      <c r="D164" t="s">
        <v>18</v>
      </c>
      <c r="E164" s="7">
        <v>45740</v>
      </c>
      <c r="F164" t="s">
        <v>1</v>
      </c>
      <c r="G164" t="s">
        <v>59</v>
      </c>
      <c r="H164" t="s">
        <v>16</v>
      </c>
      <c r="I164" t="str">
        <f t="shared" si="2"/>
        <v>24/03/2025</v>
      </c>
    </row>
    <row r="165" spans="1:9" x14ac:dyDescent="0.25">
      <c r="B165" t="s">
        <v>21</v>
      </c>
      <c r="C165">
        <v>17.43</v>
      </c>
      <c r="D165" t="s">
        <v>18</v>
      </c>
      <c r="E165" s="7">
        <v>45737</v>
      </c>
      <c r="F165" t="s">
        <v>1</v>
      </c>
      <c r="G165" t="s">
        <v>0</v>
      </c>
      <c r="H165" t="s">
        <v>16</v>
      </c>
      <c r="I165" t="str">
        <f t="shared" si="2"/>
        <v>21/03/2025</v>
      </c>
    </row>
    <row r="166" spans="1:9" x14ac:dyDescent="0.25">
      <c r="B166" t="s">
        <v>21</v>
      </c>
      <c r="C166">
        <v>15.5</v>
      </c>
      <c r="D166" t="s">
        <v>18</v>
      </c>
      <c r="E166" s="7">
        <v>45735</v>
      </c>
      <c r="F166" t="s">
        <v>1</v>
      </c>
      <c r="G166" t="s">
        <v>0</v>
      </c>
      <c r="H166" t="s">
        <v>16</v>
      </c>
      <c r="I166" t="str">
        <f t="shared" si="2"/>
        <v>19/03/2025</v>
      </c>
    </row>
    <row r="167" spans="1:9" x14ac:dyDescent="0.25">
      <c r="B167" t="s">
        <v>21</v>
      </c>
      <c r="C167">
        <v>20.28</v>
      </c>
      <c r="D167" t="s">
        <v>18</v>
      </c>
      <c r="E167" s="7">
        <v>45736</v>
      </c>
      <c r="F167" t="s">
        <v>1</v>
      </c>
      <c r="G167" t="s">
        <v>27</v>
      </c>
      <c r="H167" t="s">
        <v>16</v>
      </c>
      <c r="I167" t="str">
        <f t="shared" si="2"/>
        <v>20/03/2025</v>
      </c>
    </row>
    <row r="168" spans="1:9" x14ac:dyDescent="0.25">
      <c r="B168" t="s">
        <v>21</v>
      </c>
      <c r="C168">
        <v>15.04</v>
      </c>
      <c r="D168" t="s">
        <v>18</v>
      </c>
      <c r="E168" s="7">
        <v>45729</v>
      </c>
      <c r="F168" t="s">
        <v>1</v>
      </c>
      <c r="G168" t="s">
        <v>0</v>
      </c>
      <c r="H168" t="s">
        <v>16</v>
      </c>
      <c r="I168" t="str">
        <f t="shared" si="2"/>
        <v>13/03/2025</v>
      </c>
    </row>
    <row r="169" spans="1:9" x14ac:dyDescent="0.25">
      <c r="B169" t="s">
        <v>21</v>
      </c>
      <c r="C169">
        <v>25.28</v>
      </c>
      <c r="D169" t="s">
        <v>18</v>
      </c>
      <c r="E169" s="7">
        <v>45733</v>
      </c>
      <c r="F169" t="s">
        <v>1</v>
      </c>
      <c r="G169" t="s">
        <v>0</v>
      </c>
      <c r="H169" t="s">
        <v>16</v>
      </c>
      <c r="I169" t="str">
        <f t="shared" si="2"/>
        <v>17/03/2025</v>
      </c>
    </row>
    <row r="170" spans="1:9" x14ac:dyDescent="0.25">
      <c r="B170" t="s">
        <v>21</v>
      </c>
      <c r="C170">
        <v>4.68</v>
      </c>
      <c r="D170" t="s">
        <v>18</v>
      </c>
      <c r="E170" s="7">
        <v>45731</v>
      </c>
      <c r="F170" t="s">
        <v>1</v>
      </c>
      <c r="G170" t="s">
        <v>0</v>
      </c>
      <c r="H170" t="s">
        <v>16</v>
      </c>
      <c r="I170" t="str">
        <f t="shared" si="2"/>
        <v>15/03/2025</v>
      </c>
    </row>
    <row r="171" spans="1:9" x14ac:dyDescent="0.25">
      <c r="B171" t="s">
        <v>21</v>
      </c>
      <c r="C171">
        <v>8.51</v>
      </c>
      <c r="D171" t="s">
        <v>18</v>
      </c>
      <c r="E171" s="7">
        <v>45726</v>
      </c>
      <c r="F171" t="s">
        <v>1</v>
      </c>
      <c r="G171" t="s">
        <v>0</v>
      </c>
      <c r="H171" t="s">
        <v>16</v>
      </c>
      <c r="I171" t="str">
        <f t="shared" si="2"/>
        <v>10/03/2025</v>
      </c>
    </row>
    <row r="172" spans="1:9" x14ac:dyDescent="0.25">
      <c r="B172" t="s">
        <v>21</v>
      </c>
      <c r="C172">
        <v>23.32</v>
      </c>
      <c r="D172" t="s">
        <v>18</v>
      </c>
      <c r="E172" s="7">
        <v>45730</v>
      </c>
      <c r="F172" t="s">
        <v>1</v>
      </c>
      <c r="G172" t="s">
        <v>0</v>
      </c>
      <c r="H172" t="s">
        <v>16</v>
      </c>
      <c r="I172" t="str">
        <f t="shared" si="2"/>
        <v>14/03/2025</v>
      </c>
    </row>
    <row r="173" spans="1:9" x14ac:dyDescent="0.25">
      <c r="B173" t="s">
        <v>21</v>
      </c>
      <c r="C173">
        <v>26.15</v>
      </c>
      <c r="D173" t="s">
        <v>18</v>
      </c>
      <c r="E173" s="7">
        <v>45738</v>
      </c>
      <c r="F173" t="s">
        <v>1</v>
      </c>
      <c r="G173" t="s">
        <v>0</v>
      </c>
      <c r="H173" t="s">
        <v>16</v>
      </c>
      <c r="I173" t="str">
        <f t="shared" si="2"/>
        <v>22/03/2025</v>
      </c>
    </row>
    <row r="174" spans="1:9" x14ac:dyDescent="0.25">
      <c r="B174" t="s">
        <v>130</v>
      </c>
      <c r="C174">
        <v>5.6</v>
      </c>
      <c r="D174" t="s">
        <v>18</v>
      </c>
      <c r="E174" s="7">
        <v>45732</v>
      </c>
      <c r="F174" t="s">
        <v>1</v>
      </c>
      <c r="G174" t="s">
        <v>0</v>
      </c>
      <c r="H174" t="s">
        <v>16</v>
      </c>
      <c r="I174" t="str">
        <f t="shared" si="2"/>
        <v>16/03/2025</v>
      </c>
    </row>
    <row r="175" spans="1:9" x14ac:dyDescent="0.25">
      <c r="B175" t="s">
        <v>261</v>
      </c>
      <c r="C175">
        <v>25</v>
      </c>
      <c r="D175" t="s">
        <v>18</v>
      </c>
      <c r="E175" s="7">
        <v>45732</v>
      </c>
      <c r="F175" t="s">
        <v>1</v>
      </c>
      <c r="G175" t="s">
        <v>0</v>
      </c>
      <c r="H175" t="s">
        <v>16</v>
      </c>
      <c r="I175" t="str">
        <f t="shared" si="2"/>
        <v>16/03/2025</v>
      </c>
    </row>
    <row r="176" spans="1:9" x14ac:dyDescent="0.25">
      <c r="B176" t="s">
        <v>131</v>
      </c>
      <c r="C176">
        <v>12</v>
      </c>
      <c r="D176" t="s">
        <v>18</v>
      </c>
      <c r="E176" s="7">
        <v>45731</v>
      </c>
      <c r="F176" t="s">
        <v>1</v>
      </c>
      <c r="G176" t="s">
        <v>0</v>
      </c>
      <c r="H176" t="s">
        <v>16</v>
      </c>
      <c r="I176" t="str">
        <f t="shared" si="2"/>
        <v>15/03/2025</v>
      </c>
    </row>
    <row r="177" spans="1:9" x14ac:dyDescent="0.25">
      <c r="B177" t="s">
        <v>21</v>
      </c>
      <c r="C177">
        <v>6.9</v>
      </c>
      <c r="D177" t="s">
        <v>18</v>
      </c>
      <c r="E177" s="7">
        <v>45728</v>
      </c>
      <c r="F177" t="s">
        <v>1</v>
      </c>
      <c r="G177" t="s">
        <v>0</v>
      </c>
      <c r="H177" t="s">
        <v>16</v>
      </c>
      <c r="I177" t="str">
        <f t="shared" si="2"/>
        <v>12/03/2025</v>
      </c>
    </row>
    <row r="178" spans="1:9" x14ac:dyDescent="0.25">
      <c r="B178" t="s">
        <v>21</v>
      </c>
      <c r="C178">
        <v>3.85</v>
      </c>
      <c r="D178" t="s">
        <v>18</v>
      </c>
      <c r="E178" s="7">
        <v>45740</v>
      </c>
      <c r="F178" t="s">
        <v>1</v>
      </c>
      <c r="G178" t="s">
        <v>0</v>
      </c>
      <c r="H178" t="s">
        <v>16</v>
      </c>
      <c r="I178" t="str">
        <f t="shared" si="2"/>
        <v>24/03/2025</v>
      </c>
    </row>
    <row r="179" spans="1:9" x14ac:dyDescent="0.25">
      <c r="B179" t="s">
        <v>21</v>
      </c>
      <c r="C179">
        <v>12.71</v>
      </c>
      <c r="D179" t="s">
        <v>18</v>
      </c>
      <c r="E179" s="7">
        <v>45744</v>
      </c>
      <c r="F179" t="s">
        <v>1</v>
      </c>
      <c r="G179" t="s">
        <v>0</v>
      </c>
      <c r="H179" t="s">
        <v>16</v>
      </c>
      <c r="I179" t="str">
        <f t="shared" si="2"/>
        <v>28/03/2025</v>
      </c>
    </row>
    <row r="180" spans="1:9" x14ac:dyDescent="0.25">
      <c r="B180" t="s">
        <v>45</v>
      </c>
      <c r="C180">
        <v>32.700000000000003</v>
      </c>
      <c r="D180" t="s">
        <v>18</v>
      </c>
      <c r="E180" s="7">
        <v>45745</v>
      </c>
      <c r="F180" t="s">
        <v>1</v>
      </c>
      <c r="G180" t="s">
        <v>59</v>
      </c>
      <c r="H180" t="s">
        <v>16</v>
      </c>
      <c r="I180" t="str">
        <f t="shared" si="2"/>
        <v>29/03/2025</v>
      </c>
    </row>
    <row r="181" spans="1:9" x14ac:dyDescent="0.25">
      <c r="B181" t="s">
        <v>21</v>
      </c>
      <c r="C181">
        <v>27.84</v>
      </c>
      <c r="D181" t="s">
        <v>18</v>
      </c>
      <c r="E181" s="7">
        <v>45745</v>
      </c>
      <c r="F181" t="s">
        <v>1</v>
      </c>
      <c r="G181" t="s">
        <v>27</v>
      </c>
      <c r="H181" t="s">
        <v>16</v>
      </c>
      <c r="I181" t="str">
        <f t="shared" si="2"/>
        <v>29/03/2025</v>
      </c>
    </row>
    <row r="182" spans="1:9" x14ac:dyDescent="0.25">
      <c r="B182" t="s">
        <v>21</v>
      </c>
      <c r="C182">
        <v>5.08</v>
      </c>
      <c r="D182" t="s">
        <v>18</v>
      </c>
      <c r="E182" s="7">
        <v>45747</v>
      </c>
      <c r="F182" t="s">
        <v>1</v>
      </c>
      <c r="G182" t="s">
        <v>0</v>
      </c>
      <c r="H182" t="s">
        <v>16</v>
      </c>
      <c r="I182" t="str">
        <f t="shared" si="2"/>
        <v>31/03/2025</v>
      </c>
    </row>
    <row r="183" spans="1:9" x14ac:dyDescent="0.25">
      <c r="B183" t="s">
        <v>21</v>
      </c>
      <c r="C183">
        <v>10.4</v>
      </c>
      <c r="D183" t="s">
        <v>18</v>
      </c>
      <c r="E183" s="7">
        <v>45743</v>
      </c>
      <c r="F183" t="s">
        <v>1</v>
      </c>
      <c r="G183" t="s">
        <v>59</v>
      </c>
      <c r="H183" t="s">
        <v>16</v>
      </c>
      <c r="I183" t="str">
        <f t="shared" si="2"/>
        <v>27/03/2025</v>
      </c>
    </row>
    <row r="184" spans="1:9" x14ac:dyDescent="0.25">
      <c r="B184" t="s">
        <v>21</v>
      </c>
      <c r="C184">
        <v>12.61</v>
      </c>
      <c r="D184" t="s">
        <v>18</v>
      </c>
      <c r="E184" s="7">
        <v>45750</v>
      </c>
      <c r="F184" t="s">
        <v>1</v>
      </c>
      <c r="G184" t="s">
        <v>0</v>
      </c>
      <c r="H184" t="s">
        <v>16</v>
      </c>
      <c r="I184" t="str">
        <f t="shared" si="2"/>
        <v>03/04/2025</v>
      </c>
    </row>
    <row r="185" spans="1:9" x14ac:dyDescent="0.25">
      <c r="B185" t="s">
        <v>21</v>
      </c>
      <c r="C185">
        <v>14.11</v>
      </c>
      <c r="D185" t="s">
        <v>18</v>
      </c>
      <c r="E185" s="7">
        <v>45748</v>
      </c>
      <c r="F185" t="s">
        <v>1</v>
      </c>
      <c r="G185" t="s">
        <v>0</v>
      </c>
      <c r="H185" t="s">
        <v>16</v>
      </c>
      <c r="I185" t="str">
        <f t="shared" si="2"/>
        <v>01/04/2025</v>
      </c>
    </row>
    <row r="186" spans="1:9" x14ac:dyDescent="0.25">
      <c r="B186" t="s">
        <v>21</v>
      </c>
      <c r="C186">
        <v>6.3</v>
      </c>
      <c r="D186" t="s">
        <v>18</v>
      </c>
      <c r="E186" s="7">
        <v>45742</v>
      </c>
      <c r="F186" t="s">
        <v>1</v>
      </c>
      <c r="G186" t="s">
        <v>0</v>
      </c>
      <c r="H186" t="s">
        <v>16</v>
      </c>
      <c r="I186" t="str">
        <f t="shared" si="2"/>
        <v>26/03/2025</v>
      </c>
    </row>
    <row r="187" spans="1:9" x14ac:dyDescent="0.25">
      <c r="B187" t="s">
        <v>21</v>
      </c>
      <c r="C187">
        <v>17.350000000000001</v>
      </c>
      <c r="D187" t="s">
        <v>18</v>
      </c>
      <c r="E187" s="7">
        <v>45740</v>
      </c>
      <c r="F187" t="s">
        <v>1</v>
      </c>
      <c r="G187" t="s">
        <v>0</v>
      </c>
      <c r="H187" t="s">
        <v>16</v>
      </c>
      <c r="I187" t="str">
        <f t="shared" si="2"/>
        <v>24/03/2025</v>
      </c>
    </row>
    <row r="188" spans="1:9" x14ac:dyDescent="0.25">
      <c r="B188" t="s">
        <v>21</v>
      </c>
      <c r="C188">
        <v>12.45</v>
      </c>
      <c r="D188" t="s">
        <v>18</v>
      </c>
      <c r="E188" s="7">
        <v>45724</v>
      </c>
      <c r="F188" t="s">
        <v>1</v>
      </c>
      <c r="G188" t="s">
        <v>0</v>
      </c>
      <c r="H188" t="s">
        <v>16</v>
      </c>
      <c r="I188" t="str">
        <f t="shared" si="2"/>
        <v>08/03/2025</v>
      </c>
    </row>
    <row r="189" spans="1:9" x14ac:dyDescent="0.25">
      <c r="B189" t="s">
        <v>87</v>
      </c>
      <c r="C189">
        <v>40</v>
      </c>
      <c r="D189" t="s">
        <v>18</v>
      </c>
      <c r="E189" s="7">
        <v>45748</v>
      </c>
      <c r="F189" t="s">
        <v>1</v>
      </c>
      <c r="G189" t="s">
        <v>27</v>
      </c>
      <c r="H189" t="s">
        <v>16</v>
      </c>
      <c r="I189" t="str">
        <f t="shared" si="2"/>
        <v>01/04/2025</v>
      </c>
    </row>
    <row r="190" spans="1:9" x14ac:dyDescent="0.25">
      <c r="A190" t="s">
        <v>113</v>
      </c>
      <c r="B190" t="s">
        <v>132</v>
      </c>
      <c r="C190">
        <v>67.98</v>
      </c>
      <c r="D190" t="s">
        <v>18</v>
      </c>
      <c r="E190" s="7">
        <v>45744</v>
      </c>
      <c r="F190" t="s">
        <v>1</v>
      </c>
      <c r="G190" t="s">
        <v>27</v>
      </c>
      <c r="H190" t="s">
        <v>16</v>
      </c>
      <c r="I190" t="str">
        <f t="shared" si="2"/>
        <v>28/03/2025</v>
      </c>
    </row>
    <row r="191" spans="1:9" x14ac:dyDescent="0.25">
      <c r="A191" t="s">
        <v>113</v>
      </c>
      <c r="B191" t="s">
        <v>133</v>
      </c>
      <c r="C191">
        <v>190</v>
      </c>
      <c r="D191" t="s">
        <v>18</v>
      </c>
      <c r="E191" s="7">
        <v>45739</v>
      </c>
      <c r="F191" t="s">
        <v>1</v>
      </c>
      <c r="G191" t="s">
        <v>27</v>
      </c>
      <c r="H191" t="s">
        <v>16</v>
      </c>
      <c r="I191" t="str">
        <f t="shared" si="2"/>
        <v>23/03/2025</v>
      </c>
    </row>
    <row r="192" spans="1:9" x14ac:dyDescent="0.25">
      <c r="A192" t="s">
        <v>113</v>
      </c>
      <c r="B192" t="s">
        <v>134</v>
      </c>
      <c r="C192">
        <v>48.11</v>
      </c>
      <c r="D192" t="s">
        <v>18</v>
      </c>
      <c r="E192" s="7">
        <v>45739</v>
      </c>
      <c r="F192" t="s">
        <v>1</v>
      </c>
      <c r="G192" t="s">
        <v>27</v>
      </c>
      <c r="H192" t="s">
        <v>16</v>
      </c>
      <c r="I192" t="str">
        <f t="shared" si="2"/>
        <v>23/03/2025</v>
      </c>
    </row>
    <row r="193" spans="1:9" x14ac:dyDescent="0.25">
      <c r="A193" t="s">
        <v>113</v>
      </c>
      <c r="B193" t="s">
        <v>135</v>
      </c>
      <c r="C193">
        <v>161.72</v>
      </c>
      <c r="D193" t="s">
        <v>18</v>
      </c>
      <c r="E193" s="7">
        <v>45742</v>
      </c>
      <c r="F193" t="s">
        <v>1</v>
      </c>
      <c r="G193" t="s">
        <v>0</v>
      </c>
      <c r="H193" t="s">
        <v>16</v>
      </c>
      <c r="I193" t="str">
        <f t="shared" si="2"/>
        <v>26/03/2025</v>
      </c>
    </row>
    <row r="194" spans="1:9" x14ac:dyDescent="0.25">
      <c r="A194" t="s">
        <v>113</v>
      </c>
      <c r="B194" t="s">
        <v>136</v>
      </c>
      <c r="C194">
        <v>114.97</v>
      </c>
      <c r="D194" t="s">
        <v>18</v>
      </c>
      <c r="E194" s="7">
        <v>45742</v>
      </c>
      <c r="F194" t="s">
        <v>1</v>
      </c>
      <c r="G194" t="s">
        <v>0</v>
      </c>
      <c r="H194" t="s">
        <v>16</v>
      </c>
      <c r="I194" t="str">
        <f t="shared" si="2"/>
        <v>26/03/2025</v>
      </c>
    </row>
    <row r="195" spans="1:9" x14ac:dyDescent="0.25">
      <c r="B195" t="s">
        <v>137</v>
      </c>
      <c r="C195">
        <v>10.8</v>
      </c>
      <c r="D195" t="s">
        <v>18</v>
      </c>
      <c r="E195" s="7">
        <v>45741</v>
      </c>
      <c r="F195" t="s">
        <v>1</v>
      </c>
      <c r="G195" t="s">
        <v>0</v>
      </c>
      <c r="H195" t="s">
        <v>16</v>
      </c>
      <c r="I195" t="str">
        <f t="shared" ref="I195:I258" si="3">TEXT(E195,"dd/mm/aaaa")</f>
        <v>25/03/2025</v>
      </c>
    </row>
    <row r="196" spans="1:9" x14ac:dyDescent="0.25">
      <c r="B196" t="s">
        <v>78</v>
      </c>
      <c r="C196">
        <v>11.2</v>
      </c>
      <c r="D196" t="s">
        <v>18</v>
      </c>
      <c r="E196" s="7">
        <v>45744</v>
      </c>
      <c r="F196" t="s">
        <v>1</v>
      </c>
      <c r="G196" t="s">
        <v>0</v>
      </c>
      <c r="H196" t="s">
        <v>16</v>
      </c>
      <c r="I196" t="str">
        <f t="shared" si="3"/>
        <v>28/03/2025</v>
      </c>
    </row>
    <row r="197" spans="1:9" x14ac:dyDescent="0.25">
      <c r="B197" t="s">
        <v>138</v>
      </c>
      <c r="C197">
        <v>49</v>
      </c>
      <c r="D197" t="s">
        <v>18</v>
      </c>
      <c r="E197" s="7">
        <v>45745</v>
      </c>
      <c r="F197" t="s">
        <v>1</v>
      </c>
      <c r="G197" t="s">
        <v>0</v>
      </c>
      <c r="H197" t="s">
        <v>16</v>
      </c>
      <c r="I197" t="str">
        <f t="shared" si="3"/>
        <v>29/03/2025</v>
      </c>
    </row>
    <row r="198" spans="1:9" x14ac:dyDescent="0.25">
      <c r="B198" t="s">
        <v>138</v>
      </c>
      <c r="C198">
        <v>43</v>
      </c>
      <c r="D198" t="s">
        <v>18</v>
      </c>
      <c r="E198" s="7">
        <v>45745</v>
      </c>
      <c r="F198" t="s">
        <v>1</v>
      </c>
      <c r="G198" t="s">
        <v>0</v>
      </c>
      <c r="H198" t="s">
        <v>16</v>
      </c>
      <c r="I198" t="str">
        <f t="shared" si="3"/>
        <v>29/03/2025</v>
      </c>
    </row>
    <row r="199" spans="1:9" x14ac:dyDescent="0.25">
      <c r="B199" t="s">
        <v>64</v>
      </c>
      <c r="C199">
        <v>18.100000000000001</v>
      </c>
      <c r="D199" t="s">
        <v>18</v>
      </c>
      <c r="E199" s="7">
        <v>45749</v>
      </c>
      <c r="F199" t="s">
        <v>1</v>
      </c>
      <c r="G199" t="s">
        <v>0</v>
      </c>
      <c r="H199" t="s">
        <v>16</v>
      </c>
      <c r="I199" t="str">
        <f t="shared" si="3"/>
        <v>02/04/2025</v>
      </c>
    </row>
    <row r="200" spans="1:9" x14ac:dyDescent="0.25">
      <c r="A200" t="s">
        <v>113</v>
      </c>
      <c r="B200" t="s">
        <v>139</v>
      </c>
      <c r="C200">
        <v>44</v>
      </c>
      <c r="D200" t="s">
        <v>18</v>
      </c>
      <c r="E200" s="7">
        <v>45751</v>
      </c>
      <c r="F200" t="s">
        <v>1</v>
      </c>
      <c r="G200" t="s">
        <v>0</v>
      </c>
      <c r="H200" t="s">
        <v>16</v>
      </c>
      <c r="I200" t="str">
        <f t="shared" si="3"/>
        <v>04/04/2025</v>
      </c>
    </row>
    <row r="201" spans="1:9" x14ac:dyDescent="0.25">
      <c r="A201" t="s">
        <v>113</v>
      </c>
      <c r="B201" t="s">
        <v>140</v>
      </c>
      <c r="C201">
        <v>59.6</v>
      </c>
      <c r="D201" t="s">
        <v>18</v>
      </c>
      <c r="E201" s="7">
        <v>45752</v>
      </c>
      <c r="F201" t="s">
        <v>1</v>
      </c>
      <c r="G201" t="s">
        <v>27</v>
      </c>
      <c r="H201" t="s">
        <v>16</v>
      </c>
      <c r="I201" t="str">
        <f t="shared" si="3"/>
        <v>05/04/2025</v>
      </c>
    </row>
    <row r="202" spans="1:9" x14ac:dyDescent="0.25">
      <c r="A202" t="s">
        <v>113</v>
      </c>
      <c r="B202" t="s">
        <v>141</v>
      </c>
      <c r="C202">
        <v>26.6</v>
      </c>
      <c r="D202" t="s">
        <v>18</v>
      </c>
      <c r="E202" s="7">
        <v>45757</v>
      </c>
      <c r="F202" t="s">
        <v>1</v>
      </c>
      <c r="G202" t="s">
        <v>1</v>
      </c>
      <c r="H202" t="s">
        <v>16</v>
      </c>
      <c r="I202" t="str">
        <f t="shared" si="3"/>
        <v>10/04/2025</v>
      </c>
    </row>
    <row r="203" spans="1:9" x14ac:dyDescent="0.25">
      <c r="A203" t="s">
        <v>113</v>
      </c>
      <c r="B203" t="s">
        <v>144</v>
      </c>
      <c r="C203">
        <v>7</v>
      </c>
      <c r="D203" t="s">
        <v>18</v>
      </c>
      <c r="E203" s="7">
        <v>45753</v>
      </c>
      <c r="F203" t="s">
        <v>1</v>
      </c>
      <c r="G203" t="s">
        <v>27</v>
      </c>
      <c r="H203" t="s">
        <v>16</v>
      </c>
      <c r="I203" t="str">
        <f t="shared" si="3"/>
        <v>06/04/2025</v>
      </c>
    </row>
    <row r="204" spans="1:9" x14ac:dyDescent="0.25">
      <c r="A204" t="s">
        <v>113</v>
      </c>
      <c r="B204" t="s">
        <v>145</v>
      </c>
      <c r="C204">
        <v>13</v>
      </c>
      <c r="D204" t="s">
        <v>18</v>
      </c>
      <c r="E204" s="7">
        <v>45753</v>
      </c>
      <c r="F204" t="s">
        <v>1</v>
      </c>
      <c r="G204" t="s">
        <v>0</v>
      </c>
      <c r="H204" t="s">
        <v>16</v>
      </c>
      <c r="I204" t="str">
        <f t="shared" si="3"/>
        <v>06/04/2025</v>
      </c>
    </row>
    <row r="205" spans="1:9" x14ac:dyDescent="0.25">
      <c r="A205" t="s">
        <v>113</v>
      </c>
      <c r="B205" t="s">
        <v>148</v>
      </c>
      <c r="C205">
        <v>9</v>
      </c>
      <c r="D205" t="s">
        <v>18</v>
      </c>
      <c r="E205" s="7">
        <v>45753</v>
      </c>
      <c r="F205" t="s">
        <v>1</v>
      </c>
      <c r="G205" t="s">
        <v>0</v>
      </c>
      <c r="H205" t="s">
        <v>16</v>
      </c>
      <c r="I205" t="str">
        <f t="shared" si="3"/>
        <v>06/04/2025</v>
      </c>
    </row>
    <row r="206" spans="1:9" x14ac:dyDescent="0.25">
      <c r="A206" t="s">
        <v>113</v>
      </c>
      <c r="B206" t="s">
        <v>146</v>
      </c>
      <c r="C206">
        <v>16</v>
      </c>
      <c r="D206" t="s">
        <v>18</v>
      </c>
      <c r="E206" s="7">
        <v>45753</v>
      </c>
      <c r="F206" t="s">
        <v>1</v>
      </c>
      <c r="G206" t="s">
        <v>0</v>
      </c>
      <c r="H206" t="s">
        <v>16</v>
      </c>
      <c r="I206" t="str">
        <f t="shared" si="3"/>
        <v>06/04/2025</v>
      </c>
    </row>
    <row r="207" spans="1:9" x14ac:dyDescent="0.25">
      <c r="A207" t="s">
        <v>113</v>
      </c>
      <c r="B207" t="s">
        <v>148</v>
      </c>
      <c r="C207">
        <v>11.4</v>
      </c>
      <c r="D207" t="s">
        <v>18</v>
      </c>
      <c r="E207" s="7">
        <v>45753</v>
      </c>
      <c r="F207" t="s">
        <v>1</v>
      </c>
      <c r="G207" t="s">
        <v>0</v>
      </c>
      <c r="H207" t="s">
        <v>16</v>
      </c>
      <c r="I207" t="str">
        <f t="shared" si="3"/>
        <v>06/04/2025</v>
      </c>
    </row>
    <row r="208" spans="1:9" x14ac:dyDescent="0.25">
      <c r="A208" t="s">
        <v>113</v>
      </c>
      <c r="B208" t="s">
        <v>149</v>
      </c>
      <c r="C208">
        <v>26</v>
      </c>
      <c r="D208" t="s">
        <v>18</v>
      </c>
      <c r="E208" s="7">
        <v>45754</v>
      </c>
      <c r="F208" t="s">
        <v>1</v>
      </c>
      <c r="G208" t="s">
        <v>0</v>
      </c>
      <c r="H208" t="s">
        <v>16</v>
      </c>
      <c r="I208" t="str">
        <f t="shared" si="3"/>
        <v>07/04/2025</v>
      </c>
    </row>
    <row r="209" spans="1:9" x14ac:dyDescent="0.25">
      <c r="A209" t="s">
        <v>113</v>
      </c>
      <c r="B209" t="s">
        <v>150</v>
      </c>
      <c r="C209">
        <v>16</v>
      </c>
      <c r="D209" t="s">
        <v>18</v>
      </c>
      <c r="E209" s="7">
        <v>45754</v>
      </c>
      <c r="F209" t="s">
        <v>1</v>
      </c>
      <c r="G209" t="s">
        <v>0</v>
      </c>
      <c r="H209" t="s">
        <v>16</v>
      </c>
      <c r="I209" t="str">
        <f t="shared" si="3"/>
        <v>07/04/2025</v>
      </c>
    </row>
    <row r="210" spans="1:9" x14ac:dyDescent="0.25">
      <c r="A210" t="s">
        <v>113</v>
      </c>
      <c r="B210" t="s">
        <v>147</v>
      </c>
      <c r="C210">
        <v>6.32</v>
      </c>
      <c r="D210" t="s">
        <v>18</v>
      </c>
      <c r="E210" s="7">
        <v>45754</v>
      </c>
      <c r="F210" t="s">
        <v>1</v>
      </c>
      <c r="G210" t="s">
        <v>0</v>
      </c>
      <c r="H210" t="s">
        <v>16</v>
      </c>
      <c r="I210" t="str">
        <f t="shared" si="3"/>
        <v>07/04/2025</v>
      </c>
    </row>
    <row r="211" spans="1:9" x14ac:dyDescent="0.25">
      <c r="A211" t="s">
        <v>113</v>
      </c>
      <c r="B211" t="s">
        <v>151</v>
      </c>
      <c r="C211">
        <v>15</v>
      </c>
      <c r="D211" t="s">
        <v>18</v>
      </c>
      <c r="E211" s="7">
        <v>45755</v>
      </c>
      <c r="F211" t="s">
        <v>1</v>
      </c>
      <c r="G211" t="s">
        <v>0</v>
      </c>
      <c r="H211" t="s">
        <v>16</v>
      </c>
      <c r="I211" t="str">
        <f t="shared" si="3"/>
        <v>08/04/2025</v>
      </c>
    </row>
    <row r="212" spans="1:9" x14ac:dyDescent="0.25">
      <c r="A212" t="s">
        <v>113</v>
      </c>
      <c r="B212" t="s">
        <v>158</v>
      </c>
      <c r="C212">
        <v>4.4000000000000004</v>
      </c>
      <c r="D212" t="s">
        <v>18</v>
      </c>
      <c r="E212" s="7">
        <v>45755</v>
      </c>
      <c r="F212" t="s">
        <v>1</v>
      </c>
      <c r="G212" t="s">
        <v>0</v>
      </c>
      <c r="H212" t="s">
        <v>16</v>
      </c>
      <c r="I212" t="str">
        <f t="shared" si="3"/>
        <v>08/04/2025</v>
      </c>
    </row>
    <row r="213" spans="1:9" x14ac:dyDescent="0.25">
      <c r="A213" t="s">
        <v>113</v>
      </c>
      <c r="B213" t="s">
        <v>152</v>
      </c>
      <c r="C213">
        <v>12.92</v>
      </c>
      <c r="D213" t="s">
        <v>18</v>
      </c>
      <c r="E213" s="7">
        <v>45755</v>
      </c>
      <c r="F213" t="s">
        <v>1</v>
      </c>
      <c r="G213" t="s">
        <v>0</v>
      </c>
      <c r="H213" t="s">
        <v>16</v>
      </c>
      <c r="I213" t="str">
        <f t="shared" si="3"/>
        <v>08/04/2025</v>
      </c>
    </row>
    <row r="214" spans="1:9" x14ac:dyDescent="0.25">
      <c r="A214" t="s">
        <v>113</v>
      </c>
      <c r="B214" t="s">
        <v>153</v>
      </c>
      <c r="C214">
        <v>20</v>
      </c>
      <c r="D214" t="s">
        <v>18</v>
      </c>
      <c r="E214" s="7">
        <v>45756</v>
      </c>
      <c r="F214" t="s">
        <v>1</v>
      </c>
      <c r="G214" t="s">
        <v>0</v>
      </c>
      <c r="H214" t="s">
        <v>16</v>
      </c>
      <c r="I214" t="str">
        <f t="shared" si="3"/>
        <v>09/04/2025</v>
      </c>
    </row>
    <row r="215" spans="1:9" x14ac:dyDescent="0.25">
      <c r="A215" t="s">
        <v>113</v>
      </c>
      <c r="B215" t="s">
        <v>154</v>
      </c>
      <c r="C215">
        <v>8</v>
      </c>
      <c r="D215" t="s">
        <v>18</v>
      </c>
      <c r="E215" s="7">
        <v>45752</v>
      </c>
      <c r="F215" t="s">
        <v>1</v>
      </c>
      <c r="G215" t="s">
        <v>27</v>
      </c>
      <c r="H215" t="s">
        <v>16</v>
      </c>
      <c r="I215" t="str">
        <f t="shared" si="3"/>
        <v>05/04/2025</v>
      </c>
    </row>
    <row r="216" spans="1:9" x14ac:dyDescent="0.25">
      <c r="A216" t="s">
        <v>113</v>
      </c>
      <c r="B216" t="s">
        <v>155</v>
      </c>
      <c r="C216">
        <v>20</v>
      </c>
      <c r="D216" t="s">
        <v>18</v>
      </c>
      <c r="E216" s="7">
        <v>45756</v>
      </c>
      <c r="F216" t="s">
        <v>1</v>
      </c>
      <c r="G216" t="s">
        <v>27</v>
      </c>
      <c r="H216" t="s">
        <v>16</v>
      </c>
      <c r="I216" t="str">
        <f t="shared" si="3"/>
        <v>09/04/2025</v>
      </c>
    </row>
    <row r="217" spans="1:9" x14ac:dyDescent="0.25">
      <c r="A217" t="s">
        <v>113</v>
      </c>
      <c r="B217" t="s">
        <v>156</v>
      </c>
      <c r="C217">
        <v>3</v>
      </c>
      <c r="D217" t="s">
        <v>18</v>
      </c>
      <c r="E217" s="7">
        <v>45755</v>
      </c>
      <c r="F217" t="s">
        <v>1</v>
      </c>
      <c r="G217" t="s">
        <v>1</v>
      </c>
      <c r="H217" t="s">
        <v>16</v>
      </c>
      <c r="I217" t="str">
        <f t="shared" si="3"/>
        <v>08/04/2025</v>
      </c>
    </row>
    <row r="218" spans="1:9" x14ac:dyDescent="0.25">
      <c r="A218" t="s">
        <v>113</v>
      </c>
      <c r="B218" t="s">
        <v>158</v>
      </c>
      <c r="C218">
        <v>4.4000000000000004</v>
      </c>
      <c r="D218" t="s">
        <v>18</v>
      </c>
      <c r="E218" s="7">
        <v>45756</v>
      </c>
      <c r="F218" t="s">
        <v>1</v>
      </c>
      <c r="G218" t="s">
        <v>0</v>
      </c>
      <c r="H218" t="s">
        <v>16</v>
      </c>
      <c r="I218" t="str">
        <f t="shared" si="3"/>
        <v>09/04/2025</v>
      </c>
    </row>
    <row r="219" spans="1:9" x14ac:dyDescent="0.25">
      <c r="A219" t="s">
        <v>113</v>
      </c>
      <c r="B219" t="s">
        <v>157</v>
      </c>
      <c r="C219">
        <v>24.23</v>
      </c>
      <c r="D219" t="s">
        <v>18</v>
      </c>
      <c r="E219" s="7">
        <v>45756</v>
      </c>
      <c r="F219" t="s">
        <v>1</v>
      </c>
      <c r="G219" t="s">
        <v>0</v>
      </c>
      <c r="H219" t="s">
        <v>16</v>
      </c>
      <c r="I219" t="str">
        <f t="shared" si="3"/>
        <v>09/04/2025</v>
      </c>
    </row>
    <row r="220" spans="1:9" x14ac:dyDescent="0.25">
      <c r="A220" t="s">
        <v>113</v>
      </c>
      <c r="B220" t="s">
        <v>158</v>
      </c>
      <c r="C220">
        <v>4.4000000000000004</v>
      </c>
      <c r="D220" t="s">
        <v>18</v>
      </c>
      <c r="E220" s="7">
        <v>45756</v>
      </c>
      <c r="F220" t="s">
        <v>1</v>
      </c>
      <c r="G220" t="s">
        <v>0</v>
      </c>
      <c r="H220" t="s">
        <v>16</v>
      </c>
      <c r="I220" t="str">
        <f t="shared" si="3"/>
        <v>09/04/2025</v>
      </c>
    </row>
    <row r="221" spans="1:9" x14ac:dyDescent="0.25">
      <c r="A221" t="s">
        <v>113</v>
      </c>
      <c r="B221" t="s">
        <v>159</v>
      </c>
      <c r="C221">
        <v>5.19</v>
      </c>
      <c r="D221" t="s">
        <v>18</v>
      </c>
      <c r="E221" s="7">
        <v>45756</v>
      </c>
      <c r="F221" t="s">
        <v>1</v>
      </c>
      <c r="G221" t="s">
        <v>0</v>
      </c>
      <c r="H221" t="s">
        <v>16</v>
      </c>
      <c r="I221" t="str">
        <f t="shared" si="3"/>
        <v>09/04/2025</v>
      </c>
    </row>
    <row r="222" spans="1:9" x14ac:dyDescent="0.25">
      <c r="A222" t="s">
        <v>113</v>
      </c>
      <c r="B222" t="s">
        <v>161</v>
      </c>
      <c r="C222">
        <v>4.4000000000000004</v>
      </c>
      <c r="D222" t="s">
        <v>18</v>
      </c>
      <c r="E222" s="7">
        <v>45757</v>
      </c>
      <c r="F222" t="s">
        <v>1</v>
      </c>
      <c r="G222" t="s">
        <v>0</v>
      </c>
      <c r="H222" t="s">
        <v>16</v>
      </c>
      <c r="I222" t="str">
        <f t="shared" si="3"/>
        <v>10/04/2025</v>
      </c>
    </row>
    <row r="223" spans="1:9" x14ac:dyDescent="0.25">
      <c r="A223" t="s">
        <v>113</v>
      </c>
      <c r="B223" t="s">
        <v>160</v>
      </c>
      <c r="C223">
        <v>8.8000000000000007</v>
      </c>
      <c r="D223" t="s">
        <v>18</v>
      </c>
      <c r="E223" s="7">
        <v>45757</v>
      </c>
      <c r="F223" t="s">
        <v>1</v>
      </c>
      <c r="G223" t="s">
        <v>0</v>
      </c>
      <c r="H223" t="s">
        <v>16</v>
      </c>
      <c r="I223" t="str">
        <f t="shared" si="3"/>
        <v>10/04/2025</v>
      </c>
    </row>
    <row r="224" spans="1:9" x14ac:dyDescent="0.25">
      <c r="A224" t="s">
        <v>113</v>
      </c>
      <c r="B224" t="s">
        <v>162</v>
      </c>
      <c r="C224">
        <v>16.850000000000001</v>
      </c>
      <c r="D224" t="s">
        <v>18</v>
      </c>
      <c r="E224" s="7">
        <v>45757</v>
      </c>
      <c r="F224" t="s">
        <v>1</v>
      </c>
      <c r="G224" t="s">
        <v>0</v>
      </c>
      <c r="H224" t="s">
        <v>16</v>
      </c>
      <c r="I224" t="str">
        <f t="shared" si="3"/>
        <v>10/04/2025</v>
      </c>
    </row>
    <row r="225" spans="1:9" x14ac:dyDescent="0.25">
      <c r="A225" t="s">
        <v>113</v>
      </c>
      <c r="B225" t="s">
        <v>163</v>
      </c>
      <c r="C225">
        <v>9.6</v>
      </c>
      <c r="D225" t="s">
        <v>18</v>
      </c>
      <c r="E225" s="7">
        <v>45758</v>
      </c>
      <c r="F225" t="s">
        <v>1</v>
      </c>
      <c r="G225" t="s">
        <v>0</v>
      </c>
      <c r="H225" t="s">
        <v>16</v>
      </c>
      <c r="I225" t="str">
        <f t="shared" si="3"/>
        <v>11/04/2025</v>
      </c>
    </row>
    <row r="226" spans="1:9" x14ac:dyDescent="0.25">
      <c r="A226" t="s">
        <v>113</v>
      </c>
      <c r="B226" t="s">
        <v>164</v>
      </c>
      <c r="C226">
        <v>5.8</v>
      </c>
      <c r="D226" t="s">
        <v>18</v>
      </c>
      <c r="E226" s="7">
        <v>45758</v>
      </c>
      <c r="F226" t="s">
        <v>1</v>
      </c>
      <c r="G226" t="s">
        <v>0</v>
      </c>
      <c r="H226" t="s">
        <v>16</v>
      </c>
      <c r="I226" t="str">
        <f t="shared" si="3"/>
        <v>11/04/2025</v>
      </c>
    </row>
    <row r="227" spans="1:9" x14ac:dyDescent="0.25">
      <c r="A227" t="s">
        <v>113</v>
      </c>
      <c r="B227" t="s">
        <v>165</v>
      </c>
      <c r="C227">
        <v>16</v>
      </c>
      <c r="D227" t="s">
        <v>18</v>
      </c>
      <c r="E227" s="7">
        <v>45758</v>
      </c>
      <c r="F227" t="s">
        <v>1</v>
      </c>
      <c r="G227" t="s">
        <v>0</v>
      </c>
      <c r="H227" t="s">
        <v>16</v>
      </c>
      <c r="I227" t="str">
        <f t="shared" si="3"/>
        <v>11/04/2025</v>
      </c>
    </row>
    <row r="228" spans="1:9" x14ac:dyDescent="0.25">
      <c r="A228" t="s">
        <v>113</v>
      </c>
      <c r="B228" t="s">
        <v>166</v>
      </c>
      <c r="C228">
        <v>8.4</v>
      </c>
      <c r="D228" t="s">
        <v>18</v>
      </c>
      <c r="E228" s="7">
        <v>45758</v>
      </c>
      <c r="F228" t="s">
        <v>1</v>
      </c>
      <c r="G228" t="s">
        <v>0</v>
      </c>
      <c r="H228" t="s">
        <v>16</v>
      </c>
      <c r="I228" t="str">
        <f t="shared" si="3"/>
        <v>11/04/2025</v>
      </c>
    </row>
    <row r="229" spans="1:9" x14ac:dyDescent="0.25">
      <c r="A229" t="s">
        <v>113</v>
      </c>
      <c r="B229" t="s">
        <v>167</v>
      </c>
      <c r="C229">
        <v>46</v>
      </c>
      <c r="D229" t="s">
        <v>18</v>
      </c>
      <c r="E229" s="7">
        <v>45758</v>
      </c>
      <c r="F229" t="s">
        <v>1</v>
      </c>
      <c r="G229" t="s">
        <v>0</v>
      </c>
      <c r="H229" t="s">
        <v>16</v>
      </c>
      <c r="I229" t="str">
        <f t="shared" si="3"/>
        <v>11/04/2025</v>
      </c>
    </row>
    <row r="230" spans="1:9" x14ac:dyDescent="0.25">
      <c r="A230" t="s">
        <v>113</v>
      </c>
      <c r="B230" t="s">
        <v>168</v>
      </c>
      <c r="C230">
        <v>14.22</v>
      </c>
      <c r="D230" t="s">
        <v>18</v>
      </c>
      <c r="E230" s="7">
        <v>45758</v>
      </c>
      <c r="F230" t="s">
        <v>1</v>
      </c>
      <c r="G230" t="s">
        <v>0</v>
      </c>
      <c r="H230" t="s">
        <v>16</v>
      </c>
      <c r="I230" t="str">
        <f t="shared" si="3"/>
        <v>11/04/2025</v>
      </c>
    </row>
    <row r="231" spans="1:9" x14ac:dyDescent="0.25">
      <c r="A231" t="s">
        <v>113</v>
      </c>
      <c r="B231" t="s">
        <v>169</v>
      </c>
      <c r="C231">
        <v>8</v>
      </c>
      <c r="D231" t="s">
        <v>18</v>
      </c>
      <c r="E231" s="7">
        <v>45756</v>
      </c>
      <c r="F231" t="s">
        <v>1</v>
      </c>
      <c r="G231" t="s">
        <v>0</v>
      </c>
      <c r="H231" t="s">
        <v>16</v>
      </c>
      <c r="I231" t="str">
        <f t="shared" si="3"/>
        <v>09/04/2025</v>
      </c>
    </row>
    <row r="232" spans="1:9" x14ac:dyDescent="0.25">
      <c r="A232" t="s">
        <v>113</v>
      </c>
      <c r="B232" t="s">
        <v>170</v>
      </c>
      <c r="C232">
        <v>4</v>
      </c>
      <c r="D232" t="s">
        <v>18</v>
      </c>
      <c r="E232" s="7">
        <v>45756</v>
      </c>
      <c r="F232" t="s">
        <v>1</v>
      </c>
      <c r="G232" t="s">
        <v>27</v>
      </c>
      <c r="H232" t="s">
        <v>16</v>
      </c>
      <c r="I232" t="str">
        <f t="shared" si="3"/>
        <v>09/04/2025</v>
      </c>
    </row>
    <row r="233" spans="1:9" x14ac:dyDescent="0.25">
      <c r="A233" t="s">
        <v>113</v>
      </c>
      <c r="B233" t="s">
        <v>171</v>
      </c>
      <c r="C233">
        <v>3</v>
      </c>
      <c r="D233" t="s">
        <v>18</v>
      </c>
      <c r="E233" s="7">
        <v>45754</v>
      </c>
      <c r="F233" t="s">
        <v>1</v>
      </c>
      <c r="G233" t="s">
        <v>27</v>
      </c>
      <c r="H233" t="s">
        <v>16</v>
      </c>
      <c r="I233" t="str">
        <f t="shared" si="3"/>
        <v>07/04/2025</v>
      </c>
    </row>
    <row r="234" spans="1:9" x14ac:dyDescent="0.25">
      <c r="A234" t="s">
        <v>113</v>
      </c>
      <c r="B234" t="s">
        <v>172</v>
      </c>
      <c r="C234">
        <v>14.95</v>
      </c>
      <c r="D234" t="s">
        <v>18</v>
      </c>
      <c r="E234" s="7">
        <v>45759</v>
      </c>
      <c r="F234" t="s">
        <v>1</v>
      </c>
      <c r="G234" t="s">
        <v>0</v>
      </c>
      <c r="H234" t="s">
        <v>16</v>
      </c>
      <c r="I234" t="str">
        <f t="shared" si="3"/>
        <v>12/04/2025</v>
      </c>
    </row>
    <row r="235" spans="1:9" x14ac:dyDescent="0.25">
      <c r="A235" t="s">
        <v>113</v>
      </c>
      <c r="B235" t="s">
        <v>173</v>
      </c>
      <c r="C235">
        <v>7</v>
      </c>
      <c r="D235" t="s">
        <v>18</v>
      </c>
      <c r="E235" s="7">
        <v>45759</v>
      </c>
      <c r="F235" t="s">
        <v>1</v>
      </c>
      <c r="G235" t="s">
        <v>27</v>
      </c>
      <c r="H235" t="s">
        <v>16</v>
      </c>
      <c r="I235" t="str">
        <f t="shared" si="3"/>
        <v>12/04/2025</v>
      </c>
    </row>
    <row r="236" spans="1:9" x14ac:dyDescent="0.25">
      <c r="A236" t="s">
        <v>113</v>
      </c>
      <c r="B236" t="s">
        <v>173</v>
      </c>
      <c r="C236">
        <v>13.47</v>
      </c>
      <c r="D236" t="s">
        <v>18</v>
      </c>
      <c r="E236" s="7">
        <v>45759</v>
      </c>
      <c r="F236" t="s">
        <v>1</v>
      </c>
      <c r="G236" t="s">
        <v>0</v>
      </c>
      <c r="H236" t="s">
        <v>16</v>
      </c>
      <c r="I236" t="str">
        <f t="shared" si="3"/>
        <v>12/04/2025</v>
      </c>
    </row>
    <row r="237" spans="1:9" x14ac:dyDescent="0.25">
      <c r="A237" t="s">
        <v>113</v>
      </c>
      <c r="B237" t="s">
        <v>163</v>
      </c>
      <c r="C237">
        <v>9.6</v>
      </c>
      <c r="D237" t="s">
        <v>18</v>
      </c>
      <c r="E237" s="7">
        <v>45759</v>
      </c>
      <c r="F237" t="s">
        <v>1</v>
      </c>
      <c r="G237" t="s">
        <v>0</v>
      </c>
      <c r="H237" t="s">
        <v>16</v>
      </c>
      <c r="I237" t="str">
        <f t="shared" si="3"/>
        <v>12/04/2025</v>
      </c>
    </row>
    <row r="238" spans="1:9" x14ac:dyDescent="0.25">
      <c r="A238" t="s">
        <v>113</v>
      </c>
      <c r="B238" t="s">
        <v>174</v>
      </c>
      <c r="C238">
        <v>36</v>
      </c>
      <c r="D238" t="s">
        <v>18</v>
      </c>
      <c r="E238" s="7">
        <v>45760</v>
      </c>
      <c r="F238" t="s">
        <v>1</v>
      </c>
      <c r="G238" t="s">
        <v>0</v>
      </c>
      <c r="H238" t="s">
        <v>16</v>
      </c>
      <c r="I238" t="str">
        <f t="shared" si="3"/>
        <v>13/04/2025</v>
      </c>
    </row>
    <row r="239" spans="1:9" x14ac:dyDescent="0.25">
      <c r="A239" t="s">
        <v>113</v>
      </c>
      <c r="B239" t="s">
        <v>175</v>
      </c>
      <c r="C239">
        <v>4.9000000000000004</v>
      </c>
      <c r="D239" t="s">
        <v>18</v>
      </c>
      <c r="E239" s="7">
        <v>45760</v>
      </c>
      <c r="F239" t="s">
        <v>1</v>
      </c>
      <c r="G239" t="s">
        <v>27</v>
      </c>
      <c r="H239" t="s">
        <v>16</v>
      </c>
      <c r="I239" t="str">
        <f t="shared" si="3"/>
        <v>13/04/2025</v>
      </c>
    </row>
    <row r="240" spans="1:9" x14ac:dyDescent="0.25">
      <c r="A240" t="s">
        <v>113</v>
      </c>
      <c r="B240" t="s">
        <v>176</v>
      </c>
      <c r="C240">
        <v>20</v>
      </c>
      <c r="D240" t="s">
        <v>18</v>
      </c>
      <c r="E240" s="7">
        <v>45760</v>
      </c>
      <c r="F240" t="s">
        <v>1</v>
      </c>
      <c r="G240" t="s">
        <v>27</v>
      </c>
      <c r="H240" t="s">
        <v>16</v>
      </c>
      <c r="I240" t="str">
        <f t="shared" si="3"/>
        <v>13/04/2025</v>
      </c>
    </row>
    <row r="241" spans="1:9" x14ac:dyDescent="0.25">
      <c r="A241" t="s">
        <v>113</v>
      </c>
      <c r="B241" t="s">
        <v>177</v>
      </c>
      <c r="C241">
        <v>10.199999999999999</v>
      </c>
      <c r="D241" t="s">
        <v>18</v>
      </c>
      <c r="E241" s="7">
        <v>45760</v>
      </c>
      <c r="F241" t="s">
        <v>1</v>
      </c>
      <c r="G241" t="s">
        <v>0</v>
      </c>
      <c r="H241" t="s">
        <v>16</v>
      </c>
      <c r="I241" t="str">
        <f t="shared" si="3"/>
        <v>13/04/2025</v>
      </c>
    </row>
    <row r="242" spans="1:9" x14ac:dyDescent="0.25">
      <c r="A242" t="s">
        <v>113</v>
      </c>
      <c r="B242" t="s">
        <v>177</v>
      </c>
      <c r="C242">
        <v>7.5</v>
      </c>
      <c r="D242" t="s">
        <v>18</v>
      </c>
      <c r="E242" s="7">
        <v>45760</v>
      </c>
      <c r="F242" t="s">
        <v>1</v>
      </c>
      <c r="G242" t="s">
        <v>0</v>
      </c>
      <c r="H242" t="s">
        <v>16</v>
      </c>
      <c r="I242" t="str">
        <f t="shared" si="3"/>
        <v>13/04/2025</v>
      </c>
    </row>
    <row r="243" spans="1:9" x14ac:dyDescent="0.25">
      <c r="A243" t="s">
        <v>113</v>
      </c>
      <c r="B243" t="s">
        <v>178</v>
      </c>
      <c r="C243">
        <v>8.3000000000000007</v>
      </c>
      <c r="D243" t="s">
        <v>18</v>
      </c>
      <c r="E243" s="7">
        <v>45760</v>
      </c>
      <c r="F243" t="s">
        <v>1</v>
      </c>
      <c r="G243" t="s">
        <v>27</v>
      </c>
      <c r="H243" t="s">
        <v>16</v>
      </c>
      <c r="I243" t="str">
        <f t="shared" si="3"/>
        <v>13/04/2025</v>
      </c>
    </row>
    <row r="244" spans="1:9" x14ac:dyDescent="0.25">
      <c r="A244" t="s">
        <v>113</v>
      </c>
      <c r="B244" t="s">
        <v>172</v>
      </c>
      <c r="C244">
        <v>13.7</v>
      </c>
      <c r="D244" t="s">
        <v>18</v>
      </c>
      <c r="E244" s="7">
        <v>45761</v>
      </c>
      <c r="F244" t="s">
        <v>1</v>
      </c>
      <c r="G244" t="s">
        <v>0</v>
      </c>
      <c r="H244" t="s">
        <v>16</v>
      </c>
      <c r="I244" t="str">
        <f t="shared" si="3"/>
        <v>14/04/2025</v>
      </c>
    </row>
    <row r="245" spans="1:9" x14ac:dyDescent="0.25">
      <c r="A245" t="s">
        <v>113</v>
      </c>
      <c r="B245" t="s">
        <v>173</v>
      </c>
      <c r="C245">
        <v>8.15</v>
      </c>
      <c r="D245" t="s">
        <v>18</v>
      </c>
      <c r="E245" s="7">
        <v>45761</v>
      </c>
      <c r="F245" t="s">
        <v>1</v>
      </c>
      <c r="G245" t="s">
        <v>27</v>
      </c>
      <c r="H245" t="s">
        <v>16</v>
      </c>
      <c r="I245" t="str">
        <f t="shared" si="3"/>
        <v>14/04/2025</v>
      </c>
    </row>
    <row r="246" spans="1:9" x14ac:dyDescent="0.25">
      <c r="A246" t="s">
        <v>113</v>
      </c>
      <c r="B246" t="s">
        <v>179</v>
      </c>
      <c r="C246">
        <v>13.6</v>
      </c>
      <c r="D246" t="s">
        <v>18</v>
      </c>
      <c r="E246" s="7">
        <v>45761</v>
      </c>
      <c r="F246" t="s">
        <v>1</v>
      </c>
      <c r="G246" t="s">
        <v>0</v>
      </c>
      <c r="H246" t="s">
        <v>16</v>
      </c>
      <c r="I246" t="str">
        <f t="shared" si="3"/>
        <v>14/04/2025</v>
      </c>
    </row>
    <row r="247" spans="1:9" x14ac:dyDescent="0.25">
      <c r="A247" t="s">
        <v>113</v>
      </c>
      <c r="B247" t="s">
        <v>180</v>
      </c>
      <c r="C247">
        <v>22.23</v>
      </c>
      <c r="D247" t="s">
        <v>18</v>
      </c>
      <c r="E247" s="7">
        <v>45762</v>
      </c>
      <c r="F247" t="s">
        <v>1</v>
      </c>
      <c r="G247" t="s">
        <v>0</v>
      </c>
      <c r="H247" t="s">
        <v>16</v>
      </c>
      <c r="I247" t="str">
        <f t="shared" si="3"/>
        <v>15/04/2025</v>
      </c>
    </row>
    <row r="248" spans="1:9" x14ac:dyDescent="0.25">
      <c r="A248" t="s">
        <v>113</v>
      </c>
      <c r="B248" t="s">
        <v>181</v>
      </c>
      <c r="C248">
        <v>9.6</v>
      </c>
      <c r="D248" t="s">
        <v>18</v>
      </c>
      <c r="E248" s="7">
        <v>45762</v>
      </c>
      <c r="F248" t="s">
        <v>1</v>
      </c>
      <c r="G248" t="s">
        <v>0</v>
      </c>
      <c r="H248" t="s">
        <v>16</v>
      </c>
      <c r="I248" t="str">
        <f t="shared" si="3"/>
        <v>15/04/2025</v>
      </c>
    </row>
    <row r="249" spans="1:9" x14ac:dyDescent="0.25">
      <c r="A249" t="s">
        <v>113</v>
      </c>
      <c r="B249" t="s">
        <v>103</v>
      </c>
      <c r="C249">
        <v>19.88</v>
      </c>
      <c r="D249" t="s">
        <v>18</v>
      </c>
      <c r="E249" s="7">
        <v>45762</v>
      </c>
      <c r="F249" t="s">
        <v>1</v>
      </c>
      <c r="G249" t="s">
        <v>0</v>
      </c>
      <c r="H249" t="s">
        <v>16</v>
      </c>
      <c r="I249" t="str">
        <f t="shared" si="3"/>
        <v>15/04/2025</v>
      </c>
    </row>
    <row r="250" spans="1:9" x14ac:dyDescent="0.25">
      <c r="A250" t="s">
        <v>113</v>
      </c>
      <c r="B250" t="s">
        <v>182</v>
      </c>
      <c r="C250">
        <v>28.67</v>
      </c>
      <c r="D250" t="s">
        <v>18</v>
      </c>
      <c r="E250" s="7">
        <v>45761</v>
      </c>
      <c r="F250" t="s">
        <v>1</v>
      </c>
      <c r="G250" t="s">
        <v>0</v>
      </c>
      <c r="H250" t="s">
        <v>16</v>
      </c>
      <c r="I250" t="str">
        <f t="shared" si="3"/>
        <v>14/04/2025</v>
      </c>
    </row>
    <row r="251" spans="1:9" x14ac:dyDescent="0.25">
      <c r="A251" t="s">
        <v>113</v>
      </c>
      <c r="B251" t="s">
        <v>183</v>
      </c>
      <c r="C251">
        <v>9.2100000000000009</v>
      </c>
      <c r="D251" t="s">
        <v>18</v>
      </c>
      <c r="E251" s="7">
        <v>45762</v>
      </c>
      <c r="F251" t="s">
        <v>1</v>
      </c>
      <c r="G251" t="s">
        <v>0</v>
      </c>
      <c r="H251" t="s">
        <v>16</v>
      </c>
      <c r="I251" t="str">
        <f t="shared" si="3"/>
        <v>15/04/2025</v>
      </c>
    </row>
    <row r="252" spans="1:9" x14ac:dyDescent="0.25">
      <c r="A252" t="s">
        <v>113</v>
      </c>
      <c r="B252" t="s">
        <v>192</v>
      </c>
      <c r="C252">
        <v>5.2</v>
      </c>
      <c r="D252" t="s">
        <v>18</v>
      </c>
      <c r="E252" s="7">
        <v>45763</v>
      </c>
      <c r="F252" t="s">
        <v>1</v>
      </c>
      <c r="G252" t="s">
        <v>0</v>
      </c>
      <c r="H252" t="s">
        <v>16</v>
      </c>
      <c r="I252" t="str">
        <f t="shared" si="3"/>
        <v>16/04/2025</v>
      </c>
    </row>
    <row r="253" spans="1:9" x14ac:dyDescent="0.25">
      <c r="A253" t="s">
        <v>113</v>
      </c>
      <c r="B253" t="s">
        <v>194</v>
      </c>
      <c r="C253">
        <v>9.6300000000000008</v>
      </c>
      <c r="D253" t="s">
        <v>18</v>
      </c>
      <c r="E253" s="7">
        <v>45763</v>
      </c>
      <c r="F253" t="s">
        <v>1</v>
      </c>
      <c r="G253" t="s">
        <v>0</v>
      </c>
      <c r="H253" t="s">
        <v>16</v>
      </c>
      <c r="I253" t="str">
        <f t="shared" si="3"/>
        <v>16/04/2025</v>
      </c>
    </row>
    <row r="254" spans="1:9" x14ac:dyDescent="0.25">
      <c r="A254" t="s">
        <v>113</v>
      </c>
      <c r="B254" t="s">
        <v>180</v>
      </c>
      <c r="C254">
        <v>13.23</v>
      </c>
      <c r="D254" t="s">
        <v>18</v>
      </c>
      <c r="E254" s="7">
        <v>45763</v>
      </c>
      <c r="F254" t="s">
        <v>1</v>
      </c>
      <c r="G254" t="s">
        <v>0</v>
      </c>
      <c r="H254" t="s">
        <v>16</v>
      </c>
      <c r="I254" t="str">
        <f t="shared" si="3"/>
        <v>16/04/2025</v>
      </c>
    </row>
    <row r="255" spans="1:9" x14ac:dyDescent="0.25">
      <c r="A255" t="s">
        <v>113</v>
      </c>
      <c r="B255" t="s">
        <v>195</v>
      </c>
      <c r="C255">
        <v>12.05</v>
      </c>
      <c r="D255" t="s">
        <v>18</v>
      </c>
      <c r="E255" s="7">
        <v>45763</v>
      </c>
      <c r="F255" t="s">
        <v>1</v>
      </c>
      <c r="G255" t="s">
        <v>0</v>
      </c>
      <c r="H255" t="s">
        <v>16</v>
      </c>
      <c r="I255" t="str">
        <f t="shared" si="3"/>
        <v>16/04/2025</v>
      </c>
    </row>
    <row r="256" spans="1:9" x14ac:dyDescent="0.25">
      <c r="A256" t="s">
        <v>113</v>
      </c>
      <c r="B256" t="s">
        <v>196</v>
      </c>
      <c r="C256">
        <v>1.5</v>
      </c>
      <c r="D256" t="s">
        <v>18</v>
      </c>
      <c r="E256" s="7">
        <v>45763</v>
      </c>
      <c r="F256" t="s">
        <v>1</v>
      </c>
      <c r="G256" t="s">
        <v>0</v>
      </c>
      <c r="H256" t="s">
        <v>16</v>
      </c>
      <c r="I256" t="str">
        <f t="shared" si="3"/>
        <v>16/04/2025</v>
      </c>
    </row>
    <row r="257" spans="1:9" x14ac:dyDescent="0.25">
      <c r="A257" t="s">
        <v>113</v>
      </c>
      <c r="B257" t="s">
        <v>197</v>
      </c>
      <c r="C257">
        <v>6.43</v>
      </c>
      <c r="D257" t="s">
        <v>18</v>
      </c>
      <c r="E257" s="7">
        <v>45763</v>
      </c>
      <c r="F257" t="s">
        <v>1</v>
      </c>
      <c r="G257" t="s">
        <v>0</v>
      </c>
      <c r="H257" t="s">
        <v>16</v>
      </c>
      <c r="I257" t="str">
        <f t="shared" si="3"/>
        <v>16/04/2025</v>
      </c>
    </row>
    <row r="258" spans="1:9" x14ac:dyDescent="0.25">
      <c r="A258" t="s">
        <v>113</v>
      </c>
      <c r="B258" t="s">
        <v>183</v>
      </c>
      <c r="C258">
        <v>23.36</v>
      </c>
      <c r="D258" t="s">
        <v>18</v>
      </c>
      <c r="E258" s="7">
        <v>45763</v>
      </c>
      <c r="F258" t="s">
        <v>1</v>
      </c>
      <c r="G258" t="s">
        <v>27</v>
      </c>
      <c r="H258" t="s">
        <v>16</v>
      </c>
      <c r="I258" t="str">
        <f t="shared" si="3"/>
        <v>16/04/2025</v>
      </c>
    </row>
    <row r="259" spans="1:9" x14ac:dyDescent="0.25">
      <c r="A259" t="s">
        <v>113</v>
      </c>
      <c r="B259" t="s">
        <v>198</v>
      </c>
      <c r="C259">
        <v>75</v>
      </c>
      <c r="D259" t="s">
        <v>18</v>
      </c>
      <c r="E259" s="7">
        <v>45764</v>
      </c>
      <c r="F259" t="s">
        <v>1</v>
      </c>
      <c r="G259" t="s">
        <v>0</v>
      </c>
      <c r="H259" t="s">
        <v>16</v>
      </c>
      <c r="I259" t="str">
        <f t="shared" ref="I259:I322" si="4">TEXT(E259,"dd/mm/aaaa")</f>
        <v>17/04/2025</v>
      </c>
    </row>
    <row r="260" spans="1:9" x14ac:dyDescent="0.25">
      <c r="A260" t="s">
        <v>113</v>
      </c>
      <c r="B260" t="s">
        <v>199</v>
      </c>
      <c r="C260">
        <v>13.9</v>
      </c>
      <c r="D260" t="s">
        <v>18</v>
      </c>
      <c r="E260" s="7">
        <v>45764</v>
      </c>
      <c r="F260" t="s">
        <v>1</v>
      </c>
      <c r="G260" t="s">
        <v>0</v>
      </c>
      <c r="H260" t="s">
        <v>16</v>
      </c>
      <c r="I260" t="str">
        <f t="shared" si="4"/>
        <v>17/04/2025</v>
      </c>
    </row>
    <row r="261" spans="1:9" x14ac:dyDescent="0.25">
      <c r="A261" t="s">
        <v>113</v>
      </c>
      <c r="B261" t="s">
        <v>200</v>
      </c>
      <c r="C261">
        <v>10.8</v>
      </c>
      <c r="D261" t="s">
        <v>18</v>
      </c>
      <c r="E261" s="7">
        <v>45765</v>
      </c>
      <c r="F261" t="s">
        <v>1</v>
      </c>
      <c r="G261" t="s">
        <v>0</v>
      </c>
      <c r="H261" t="s">
        <v>16</v>
      </c>
      <c r="I261" t="str">
        <f t="shared" si="4"/>
        <v>18/04/2025</v>
      </c>
    </row>
    <row r="262" spans="1:9" x14ac:dyDescent="0.25">
      <c r="A262" t="s">
        <v>113</v>
      </c>
      <c r="B262" t="s">
        <v>201</v>
      </c>
      <c r="C262">
        <v>12</v>
      </c>
      <c r="D262" t="s">
        <v>18</v>
      </c>
      <c r="E262" s="7">
        <v>45765</v>
      </c>
      <c r="F262" t="s">
        <v>1</v>
      </c>
      <c r="G262" t="s">
        <v>27</v>
      </c>
      <c r="H262" t="s">
        <v>16</v>
      </c>
      <c r="I262" t="str">
        <f t="shared" si="4"/>
        <v>18/04/2025</v>
      </c>
    </row>
    <row r="263" spans="1:9" x14ac:dyDescent="0.25">
      <c r="A263" t="s">
        <v>113</v>
      </c>
      <c r="B263" t="s">
        <v>202</v>
      </c>
      <c r="C263">
        <v>8</v>
      </c>
      <c r="D263" t="s">
        <v>18</v>
      </c>
      <c r="E263" s="7">
        <v>45765</v>
      </c>
      <c r="F263" t="s">
        <v>1</v>
      </c>
      <c r="G263" t="s">
        <v>27</v>
      </c>
      <c r="H263" t="s">
        <v>16</v>
      </c>
      <c r="I263" t="str">
        <f t="shared" si="4"/>
        <v>18/04/2025</v>
      </c>
    </row>
    <row r="264" spans="1:9" x14ac:dyDescent="0.25">
      <c r="A264" t="s">
        <v>113</v>
      </c>
      <c r="B264" t="s">
        <v>203</v>
      </c>
      <c r="C264">
        <v>18</v>
      </c>
      <c r="D264" t="s">
        <v>18</v>
      </c>
      <c r="E264" s="7">
        <v>45765</v>
      </c>
      <c r="F264" t="s">
        <v>1</v>
      </c>
      <c r="G264" t="s">
        <v>0</v>
      </c>
      <c r="H264" t="s">
        <v>16</v>
      </c>
      <c r="I264" t="str">
        <f t="shared" si="4"/>
        <v>18/04/2025</v>
      </c>
    </row>
    <row r="265" spans="1:9" x14ac:dyDescent="0.25">
      <c r="A265" t="s">
        <v>113</v>
      </c>
      <c r="B265" t="s">
        <v>199</v>
      </c>
      <c r="C265">
        <v>19</v>
      </c>
      <c r="D265" t="s">
        <v>18</v>
      </c>
      <c r="E265" s="7">
        <v>45765</v>
      </c>
      <c r="F265" t="s">
        <v>1</v>
      </c>
      <c r="G265" t="s">
        <v>27</v>
      </c>
      <c r="H265" t="s">
        <v>16</v>
      </c>
      <c r="I265" t="str">
        <f t="shared" si="4"/>
        <v>18/04/2025</v>
      </c>
    </row>
    <row r="266" spans="1:9" x14ac:dyDescent="0.25">
      <c r="A266" t="s">
        <v>113</v>
      </c>
      <c r="B266" t="s">
        <v>200</v>
      </c>
      <c r="C266">
        <v>8.5</v>
      </c>
      <c r="D266" t="s">
        <v>18</v>
      </c>
      <c r="E266" s="7">
        <v>45767</v>
      </c>
      <c r="F266" t="s">
        <v>1</v>
      </c>
      <c r="G266" t="s">
        <v>27</v>
      </c>
      <c r="H266" t="s">
        <v>16</v>
      </c>
      <c r="I266" t="str">
        <f t="shared" si="4"/>
        <v>20/04/2025</v>
      </c>
    </row>
    <row r="267" spans="1:9" x14ac:dyDescent="0.25">
      <c r="A267" t="s">
        <v>113</v>
      </c>
      <c r="B267" t="s">
        <v>204</v>
      </c>
      <c r="C267">
        <v>2</v>
      </c>
      <c r="D267" t="s">
        <v>18</v>
      </c>
      <c r="E267" s="7">
        <v>45767</v>
      </c>
      <c r="F267" t="s">
        <v>1</v>
      </c>
      <c r="G267" t="s">
        <v>27</v>
      </c>
      <c r="H267" t="s">
        <v>16</v>
      </c>
      <c r="I267" t="str">
        <f t="shared" si="4"/>
        <v>20/04/2025</v>
      </c>
    </row>
    <row r="268" spans="1:9" x14ac:dyDescent="0.25">
      <c r="A268" t="s">
        <v>113</v>
      </c>
      <c r="B268" t="s">
        <v>200</v>
      </c>
      <c r="C268">
        <v>11.75</v>
      </c>
      <c r="D268" t="s">
        <v>18</v>
      </c>
      <c r="E268" s="7">
        <v>45766</v>
      </c>
      <c r="F268" t="s">
        <v>1</v>
      </c>
      <c r="G268" t="s">
        <v>0</v>
      </c>
      <c r="H268" t="s">
        <v>16</v>
      </c>
      <c r="I268" t="str">
        <f t="shared" si="4"/>
        <v>19/04/2025</v>
      </c>
    </row>
    <row r="269" spans="1:9" x14ac:dyDescent="0.25">
      <c r="A269" t="s">
        <v>113</v>
      </c>
      <c r="B269" t="s">
        <v>205</v>
      </c>
      <c r="C269">
        <v>12</v>
      </c>
      <c r="D269" t="s">
        <v>18</v>
      </c>
      <c r="E269" s="7">
        <v>45766</v>
      </c>
      <c r="F269" t="s">
        <v>1</v>
      </c>
      <c r="G269" t="s">
        <v>0</v>
      </c>
      <c r="H269" t="s">
        <v>16</v>
      </c>
      <c r="I269" t="str">
        <f t="shared" si="4"/>
        <v>19/04/2025</v>
      </c>
    </row>
    <row r="270" spans="1:9" x14ac:dyDescent="0.25">
      <c r="A270" t="s">
        <v>113</v>
      </c>
      <c r="B270" t="s">
        <v>206</v>
      </c>
      <c r="C270">
        <v>15.4</v>
      </c>
      <c r="D270" t="s">
        <v>18</v>
      </c>
      <c r="E270" s="7">
        <v>45767</v>
      </c>
      <c r="F270" t="s">
        <v>1</v>
      </c>
      <c r="G270" t="s">
        <v>0</v>
      </c>
      <c r="H270" t="s">
        <v>16</v>
      </c>
      <c r="I270" t="str">
        <f t="shared" si="4"/>
        <v>20/04/2025</v>
      </c>
    </row>
    <row r="271" spans="1:9" x14ac:dyDescent="0.25">
      <c r="A271" t="s">
        <v>113</v>
      </c>
      <c r="B271" t="s">
        <v>207</v>
      </c>
      <c r="C271">
        <v>9.7100000000000009</v>
      </c>
      <c r="D271" t="s">
        <v>18</v>
      </c>
      <c r="E271" s="7">
        <v>45767</v>
      </c>
      <c r="F271" t="s">
        <v>1</v>
      </c>
      <c r="G271" t="s">
        <v>27</v>
      </c>
      <c r="H271" t="s">
        <v>16</v>
      </c>
      <c r="I271" t="str">
        <f t="shared" si="4"/>
        <v>20/04/2025</v>
      </c>
    </row>
    <row r="272" spans="1:9" x14ac:dyDescent="0.25">
      <c r="A272" t="s">
        <v>113</v>
      </c>
      <c r="B272" t="s">
        <v>208</v>
      </c>
      <c r="C272">
        <v>40</v>
      </c>
      <c r="D272" t="s">
        <v>18</v>
      </c>
      <c r="E272" s="7">
        <v>45767</v>
      </c>
      <c r="F272" t="s">
        <v>1</v>
      </c>
      <c r="G272" t="s">
        <v>0</v>
      </c>
      <c r="H272" t="s">
        <v>16</v>
      </c>
      <c r="I272" t="str">
        <f t="shared" si="4"/>
        <v>20/04/2025</v>
      </c>
    </row>
    <row r="273" spans="1:9" x14ac:dyDescent="0.25">
      <c r="A273" t="s">
        <v>113</v>
      </c>
      <c r="B273" t="s">
        <v>209</v>
      </c>
      <c r="C273">
        <v>5.34</v>
      </c>
      <c r="D273" t="s">
        <v>18</v>
      </c>
      <c r="E273" s="7">
        <v>45767</v>
      </c>
      <c r="F273" t="s">
        <v>1</v>
      </c>
      <c r="G273" t="s">
        <v>0</v>
      </c>
      <c r="H273" t="s">
        <v>16</v>
      </c>
      <c r="I273" t="str">
        <f t="shared" si="4"/>
        <v>20/04/2025</v>
      </c>
    </row>
    <row r="274" spans="1:9" x14ac:dyDescent="0.25">
      <c r="A274" t="s">
        <v>113</v>
      </c>
      <c r="B274" t="s">
        <v>210</v>
      </c>
      <c r="C274">
        <v>3</v>
      </c>
      <c r="D274" t="s">
        <v>18</v>
      </c>
      <c r="E274" s="7">
        <v>45768</v>
      </c>
      <c r="F274" t="s">
        <v>1</v>
      </c>
      <c r="G274" t="s">
        <v>0</v>
      </c>
      <c r="H274" t="s">
        <v>16</v>
      </c>
      <c r="I274" t="str">
        <f t="shared" si="4"/>
        <v>21/04/2025</v>
      </c>
    </row>
    <row r="275" spans="1:9" x14ac:dyDescent="0.25">
      <c r="A275" t="s">
        <v>113</v>
      </c>
      <c r="B275" t="s">
        <v>211</v>
      </c>
      <c r="C275">
        <v>11.1</v>
      </c>
      <c r="D275" t="s">
        <v>18</v>
      </c>
      <c r="E275" s="7">
        <v>45768</v>
      </c>
      <c r="F275" t="s">
        <v>1</v>
      </c>
      <c r="G275" t="s">
        <v>0</v>
      </c>
      <c r="H275" t="s">
        <v>16</v>
      </c>
      <c r="I275" t="str">
        <f t="shared" si="4"/>
        <v>21/04/2025</v>
      </c>
    </row>
    <row r="276" spans="1:9" x14ac:dyDescent="0.25">
      <c r="A276" t="s">
        <v>113</v>
      </c>
      <c r="B276" t="s">
        <v>211</v>
      </c>
      <c r="C276">
        <v>9.1</v>
      </c>
      <c r="D276" t="s">
        <v>18</v>
      </c>
      <c r="E276" s="7">
        <v>45768</v>
      </c>
      <c r="F276" t="s">
        <v>1</v>
      </c>
      <c r="G276" t="s">
        <v>0</v>
      </c>
      <c r="H276" t="s">
        <v>16</v>
      </c>
      <c r="I276" t="str">
        <f t="shared" si="4"/>
        <v>21/04/2025</v>
      </c>
    </row>
    <row r="277" spans="1:9" x14ac:dyDescent="0.25">
      <c r="A277" t="s">
        <v>113</v>
      </c>
      <c r="B277" t="s">
        <v>209</v>
      </c>
      <c r="C277">
        <v>3.49</v>
      </c>
      <c r="D277" t="s">
        <v>18</v>
      </c>
      <c r="E277" s="7">
        <v>45768</v>
      </c>
      <c r="F277" t="s">
        <v>1</v>
      </c>
      <c r="G277" t="s">
        <v>27</v>
      </c>
      <c r="H277" t="s">
        <v>16</v>
      </c>
      <c r="I277" t="str">
        <f t="shared" si="4"/>
        <v>21/04/2025</v>
      </c>
    </row>
    <row r="278" spans="1:9" x14ac:dyDescent="0.25">
      <c r="A278" t="s">
        <v>113</v>
      </c>
      <c r="B278" t="s">
        <v>212</v>
      </c>
      <c r="C278">
        <v>9</v>
      </c>
      <c r="D278" t="s">
        <v>18</v>
      </c>
      <c r="E278" s="7">
        <v>45768</v>
      </c>
      <c r="F278" t="s">
        <v>1</v>
      </c>
      <c r="G278" t="s">
        <v>0</v>
      </c>
      <c r="H278" t="s">
        <v>16</v>
      </c>
      <c r="I278" t="str">
        <f t="shared" si="4"/>
        <v>21/04/2025</v>
      </c>
    </row>
    <row r="279" spans="1:9" x14ac:dyDescent="0.25">
      <c r="A279" t="s">
        <v>113</v>
      </c>
      <c r="B279" t="s">
        <v>213</v>
      </c>
      <c r="C279">
        <v>4</v>
      </c>
      <c r="D279" t="s">
        <v>18</v>
      </c>
      <c r="E279" s="7">
        <v>45768</v>
      </c>
      <c r="F279" t="s">
        <v>1</v>
      </c>
      <c r="G279" t="s">
        <v>0</v>
      </c>
      <c r="H279" t="s">
        <v>16</v>
      </c>
      <c r="I279" t="str">
        <f t="shared" si="4"/>
        <v>21/04/2025</v>
      </c>
    </row>
    <row r="280" spans="1:9" x14ac:dyDescent="0.25">
      <c r="A280" t="s">
        <v>113</v>
      </c>
      <c r="B280" t="s">
        <v>211</v>
      </c>
      <c r="C280">
        <v>12.05</v>
      </c>
      <c r="D280" t="s">
        <v>18</v>
      </c>
      <c r="E280" s="7">
        <v>45769</v>
      </c>
      <c r="F280" t="s">
        <v>1</v>
      </c>
      <c r="G280" t="s">
        <v>0</v>
      </c>
      <c r="H280" t="s">
        <v>16</v>
      </c>
      <c r="I280" t="str">
        <f t="shared" si="4"/>
        <v>22/04/2025</v>
      </c>
    </row>
    <row r="281" spans="1:9" x14ac:dyDescent="0.25">
      <c r="A281" t="s">
        <v>113</v>
      </c>
      <c r="B281" t="s">
        <v>214</v>
      </c>
      <c r="C281">
        <v>13.4</v>
      </c>
      <c r="D281" t="s">
        <v>18</v>
      </c>
      <c r="E281" s="7">
        <v>45769</v>
      </c>
      <c r="F281" t="s">
        <v>1</v>
      </c>
      <c r="G281" t="s">
        <v>0</v>
      </c>
      <c r="H281" t="s">
        <v>16</v>
      </c>
      <c r="I281" t="str">
        <f t="shared" si="4"/>
        <v>22/04/2025</v>
      </c>
    </row>
    <row r="282" spans="1:9" x14ac:dyDescent="0.25">
      <c r="A282" t="s">
        <v>113</v>
      </c>
      <c r="B282" t="s">
        <v>215</v>
      </c>
      <c r="C282">
        <v>7</v>
      </c>
      <c r="D282" t="s">
        <v>18</v>
      </c>
      <c r="E282" s="7">
        <v>45768</v>
      </c>
      <c r="F282" t="s">
        <v>1</v>
      </c>
      <c r="G282" t="s">
        <v>0</v>
      </c>
      <c r="H282" t="s">
        <v>16</v>
      </c>
      <c r="I282" t="str">
        <f t="shared" si="4"/>
        <v>21/04/2025</v>
      </c>
    </row>
    <row r="283" spans="1:9" x14ac:dyDescent="0.25">
      <c r="A283" t="s">
        <v>113</v>
      </c>
      <c r="B283" t="s">
        <v>216</v>
      </c>
      <c r="C283">
        <v>7</v>
      </c>
      <c r="D283" t="s">
        <v>18</v>
      </c>
      <c r="E283" s="7">
        <v>45768</v>
      </c>
      <c r="F283" t="s">
        <v>1</v>
      </c>
      <c r="G283" t="s">
        <v>59</v>
      </c>
      <c r="H283" t="s">
        <v>16</v>
      </c>
      <c r="I283" t="str">
        <f t="shared" si="4"/>
        <v>21/04/2025</v>
      </c>
    </row>
    <row r="284" spans="1:9" x14ac:dyDescent="0.25">
      <c r="A284" t="s">
        <v>113</v>
      </c>
      <c r="B284" t="s">
        <v>217</v>
      </c>
      <c r="C284">
        <v>2.7</v>
      </c>
      <c r="D284" t="s">
        <v>18</v>
      </c>
      <c r="E284" s="7">
        <v>45770</v>
      </c>
      <c r="F284" t="s">
        <v>1</v>
      </c>
      <c r="G284" t="s">
        <v>27</v>
      </c>
      <c r="H284" t="s">
        <v>193</v>
      </c>
      <c r="I284" t="str">
        <f t="shared" si="4"/>
        <v>23/04/2025</v>
      </c>
    </row>
    <row r="285" spans="1:9" x14ac:dyDescent="0.25">
      <c r="A285" t="s">
        <v>113</v>
      </c>
      <c r="B285" t="s">
        <v>218</v>
      </c>
      <c r="C285">
        <v>20</v>
      </c>
      <c r="D285" t="s">
        <v>18</v>
      </c>
      <c r="E285" s="7">
        <v>45772</v>
      </c>
      <c r="F285" t="s">
        <v>1</v>
      </c>
      <c r="G285" t="s">
        <v>27</v>
      </c>
      <c r="H285" t="s">
        <v>193</v>
      </c>
      <c r="I285" t="str">
        <f t="shared" si="4"/>
        <v>25/04/2025</v>
      </c>
    </row>
    <row r="286" spans="1:9" x14ac:dyDescent="0.25">
      <c r="A286" t="s">
        <v>113</v>
      </c>
      <c r="B286" t="s">
        <v>219</v>
      </c>
      <c r="C286">
        <v>30</v>
      </c>
      <c r="D286" t="s">
        <v>18</v>
      </c>
      <c r="E286" s="7">
        <v>45775</v>
      </c>
      <c r="F286" t="s">
        <v>1</v>
      </c>
      <c r="G286" t="s">
        <v>27</v>
      </c>
      <c r="H286" t="s">
        <v>193</v>
      </c>
      <c r="I286" t="str">
        <f t="shared" si="4"/>
        <v>28/04/2025</v>
      </c>
    </row>
    <row r="287" spans="1:9" x14ac:dyDescent="0.25">
      <c r="A287" t="s">
        <v>113</v>
      </c>
      <c r="B287" t="s">
        <v>220</v>
      </c>
      <c r="C287">
        <v>2.9</v>
      </c>
      <c r="D287" t="s">
        <v>18</v>
      </c>
      <c r="E287" s="7">
        <v>45775</v>
      </c>
      <c r="F287" t="s">
        <v>1</v>
      </c>
      <c r="G287" t="s">
        <v>27</v>
      </c>
      <c r="H287" t="s">
        <v>193</v>
      </c>
      <c r="I287" t="str">
        <f t="shared" si="4"/>
        <v>28/04/2025</v>
      </c>
    </row>
    <row r="288" spans="1:9" x14ac:dyDescent="0.25">
      <c r="A288" t="s">
        <v>113</v>
      </c>
      <c r="B288" t="s">
        <v>221</v>
      </c>
      <c r="C288">
        <v>2.2999999999999998</v>
      </c>
      <c r="D288" t="s">
        <v>18</v>
      </c>
      <c r="E288" s="7">
        <v>45770</v>
      </c>
      <c r="F288" t="s">
        <v>0</v>
      </c>
      <c r="G288" t="s">
        <v>0</v>
      </c>
      <c r="H288" t="s">
        <v>16</v>
      </c>
      <c r="I288" t="str">
        <f t="shared" si="4"/>
        <v>23/04/2025</v>
      </c>
    </row>
    <row r="289" spans="1:9" x14ac:dyDescent="0.25">
      <c r="A289" t="s">
        <v>113</v>
      </c>
      <c r="B289" t="s">
        <v>221</v>
      </c>
      <c r="C289">
        <v>6</v>
      </c>
      <c r="D289" t="s">
        <v>18</v>
      </c>
      <c r="E289" s="7">
        <v>45770</v>
      </c>
      <c r="F289" t="s">
        <v>0</v>
      </c>
      <c r="G289" t="s">
        <v>0</v>
      </c>
      <c r="H289" t="s">
        <v>16</v>
      </c>
      <c r="I289" t="str">
        <f t="shared" si="4"/>
        <v>23/04/2025</v>
      </c>
    </row>
    <row r="290" spans="1:9" x14ac:dyDescent="0.25">
      <c r="A290" t="s">
        <v>113</v>
      </c>
      <c r="B290" t="s">
        <v>221</v>
      </c>
      <c r="C290">
        <v>4.5999999999999996</v>
      </c>
      <c r="D290" t="s">
        <v>18</v>
      </c>
      <c r="E290" s="7">
        <v>45771</v>
      </c>
      <c r="F290" t="s">
        <v>0</v>
      </c>
      <c r="G290" t="s">
        <v>0</v>
      </c>
      <c r="H290" t="s">
        <v>16</v>
      </c>
      <c r="I290" t="str">
        <f t="shared" si="4"/>
        <v>24/04/2025</v>
      </c>
    </row>
    <row r="291" spans="1:9" x14ac:dyDescent="0.25">
      <c r="A291" t="s">
        <v>113</v>
      </c>
      <c r="B291" t="s">
        <v>222</v>
      </c>
      <c r="C291">
        <f>4.6+5.6</f>
        <v>10.199999999999999</v>
      </c>
      <c r="D291" t="s">
        <v>18</v>
      </c>
      <c r="E291" s="7">
        <v>45772</v>
      </c>
      <c r="F291" t="s">
        <v>0</v>
      </c>
      <c r="G291" t="s">
        <v>0</v>
      </c>
      <c r="H291" t="s">
        <v>16</v>
      </c>
      <c r="I291" t="str">
        <f t="shared" si="4"/>
        <v>25/04/2025</v>
      </c>
    </row>
    <row r="292" spans="1:9" x14ac:dyDescent="0.25">
      <c r="A292" t="s">
        <v>113</v>
      </c>
      <c r="B292" t="s">
        <v>222</v>
      </c>
      <c r="C292">
        <v>5</v>
      </c>
      <c r="D292" t="s">
        <v>18</v>
      </c>
      <c r="E292" s="7">
        <v>45775</v>
      </c>
      <c r="F292" t="s">
        <v>0</v>
      </c>
      <c r="G292" t="s">
        <v>0</v>
      </c>
      <c r="H292" t="s">
        <v>16</v>
      </c>
      <c r="I292" t="str">
        <f t="shared" si="4"/>
        <v>28/04/2025</v>
      </c>
    </row>
    <row r="293" spans="1:9" x14ac:dyDescent="0.25">
      <c r="A293" t="s">
        <v>113</v>
      </c>
      <c r="B293" t="s">
        <v>223</v>
      </c>
      <c r="C293">
        <v>2.65</v>
      </c>
      <c r="D293" t="s">
        <v>18</v>
      </c>
      <c r="E293" s="7">
        <v>45775</v>
      </c>
      <c r="F293" t="s">
        <v>59</v>
      </c>
      <c r="G293" t="s">
        <v>0</v>
      </c>
      <c r="H293" t="s">
        <v>16</v>
      </c>
      <c r="I293" t="str">
        <f t="shared" si="4"/>
        <v>28/04/2025</v>
      </c>
    </row>
    <row r="294" spans="1:9" x14ac:dyDescent="0.25">
      <c r="A294" t="s">
        <v>113</v>
      </c>
      <c r="B294" t="s">
        <v>224</v>
      </c>
      <c r="C294">
        <v>13</v>
      </c>
      <c r="D294" t="s">
        <v>18</v>
      </c>
      <c r="E294" s="7">
        <v>45769</v>
      </c>
      <c r="F294" t="s">
        <v>1</v>
      </c>
      <c r="G294" t="s">
        <v>0</v>
      </c>
      <c r="H294" t="s">
        <v>16</v>
      </c>
      <c r="I294" t="str">
        <f t="shared" si="4"/>
        <v>22/04/2025</v>
      </c>
    </row>
    <row r="295" spans="1:9" x14ac:dyDescent="0.25">
      <c r="A295" t="s">
        <v>113</v>
      </c>
      <c r="B295" t="s">
        <v>225</v>
      </c>
      <c r="C295">
        <v>16.260000000000002</v>
      </c>
      <c r="D295" t="s">
        <v>18</v>
      </c>
      <c r="E295" s="7">
        <v>45769</v>
      </c>
      <c r="F295" t="s">
        <v>1</v>
      </c>
      <c r="G295" t="s">
        <v>0</v>
      </c>
      <c r="H295" t="s">
        <v>16</v>
      </c>
      <c r="I295" t="str">
        <f t="shared" si="4"/>
        <v>22/04/2025</v>
      </c>
    </row>
    <row r="296" spans="1:9" x14ac:dyDescent="0.25">
      <c r="A296" t="s">
        <v>113</v>
      </c>
      <c r="B296" t="s">
        <v>226</v>
      </c>
      <c r="C296">
        <v>13.2</v>
      </c>
      <c r="D296" t="s">
        <v>18</v>
      </c>
      <c r="E296" s="7">
        <v>45770</v>
      </c>
      <c r="F296" t="s">
        <v>1</v>
      </c>
      <c r="G296" t="s">
        <v>0</v>
      </c>
      <c r="H296" t="s">
        <v>16</v>
      </c>
      <c r="I296" t="str">
        <f t="shared" si="4"/>
        <v>23/04/2025</v>
      </c>
    </row>
    <row r="297" spans="1:9" x14ac:dyDescent="0.25">
      <c r="A297" t="s">
        <v>113</v>
      </c>
      <c r="B297" t="s">
        <v>227</v>
      </c>
      <c r="C297">
        <v>23.9</v>
      </c>
      <c r="D297" t="s">
        <v>18</v>
      </c>
      <c r="E297" s="7">
        <v>45770</v>
      </c>
      <c r="F297" t="s">
        <v>1</v>
      </c>
      <c r="G297" t="s">
        <v>0</v>
      </c>
      <c r="H297" t="s">
        <v>16</v>
      </c>
      <c r="I297" t="str">
        <f t="shared" si="4"/>
        <v>23/04/2025</v>
      </c>
    </row>
    <row r="298" spans="1:9" x14ac:dyDescent="0.25">
      <c r="A298" t="s">
        <v>113</v>
      </c>
      <c r="B298" t="s">
        <v>228</v>
      </c>
      <c r="C298">
        <v>37.799999999999997</v>
      </c>
      <c r="D298" t="s">
        <v>18</v>
      </c>
      <c r="E298" s="7">
        <v>45770</v>
      </c>
      <c r="F298" t="s">
        <v>1</v>
      </c>
      <c r="G298" t="s">
        <v>0</v>
      </c>
      <c r="H298" t="s">
        <v>16</v>
      </c>
      <c r="I298" t="str">
        <f t="shared" si="4"/>
        <v>23/04/2025</v>
      </c>
    </row>
    <row r="299" spans="1:9" x14ac:dyDescent="0.25">
      <c r="A299" t="s">
        <v>113</v>
      </c>
      <c r="B299" t="s">
        <v>229</v>
      </c>
      <c r="C299">
        <v>30</v>
      </c>
      <c r="D299" t="s">
        <v>18</v>
      </c>
      <c r="E299" s="7">
        <v>45770</v>
      </c>
      <c r="F299" t="s">
        <v>1</v>
      </c>
      <c r="G299" t="s">
        <v>0</v>
      </c>
      <c r="H299" t="s">
        <v>16</v>
      </c>
      <c r="I299" t="str">
        <f t="shared" si="4"/>
        <v>23/04/2025</v>
      </c>
    </row>
    <row r="300" spans="1:9" x14ac:dyDescent="0.25">
      <c r="A300" t="s">
        <v>113</v>
      </c>
      <c r="B300" t="s">
        <v>230</v>
      </c>
      <c r="C300">
        <v>2.9</v>
      </c>
      <c r="D300" t="s">
        <v>18</v>
      </c>
      <c r="E300" s="7">
        <v>45770</v>
      </c>
      <c r="F300" t="s">
        <v>1</v>
      </c>
      <c r="G300" t="s">
        <v>0</v>
      </c>
      <c r="H300" t="s">
        <v>16</v>
      </c>
      <c r="I300" t="str">
        <f t="shared" si="4"/>
        <v>23/04/2025</v>
      </c>
    </row>
    <row r="301" spans="1:9" x14ac:dyDescent="0.25">
      <c r="A301" t="s">
        <v>113</v>
      </c>
      <c r="B301" t="s">
        <v>231</v>
      </c>
      <c r="C301">
        <v>13.6</v>
      </c>
      <c r="D301" t="s">
        <v>18</v>
      </c>
      <c r="E301" s="7">
        <v>45770</v>
      </c>
      <c r="F301" t="s">
        <v>1</v>
      </c>
      <c r="G301" t="s">
        <v>0</v>
      </c>
      <c r="H301" t="s">
        <v>16</v>
      </c>
      <c r="I301" t="str">
        <f t="shared" si="4"/>
        <v>23/04/2025</v>
      </c>
    </row>
    <row r="302" spans="1:9" x14ac:dyDescent="0.25">
      <c r="A302" t="s">
        <v>113</v>
      </c>
      <c r="B302" t="s">
        <v>232</v>
      </c>
      <c r="C302">
        <v>4.5999999999999996</v>
      </c>
      <c r="D302" t="s">
        <v>18</v>
      </c>
      <c r="E302" s="7">
        <v>45771</v>
      </c>
      <c r="F302" t="s">
        <v>0</v>
      </c>
      <c r="G302" t="s">
        <v>0</v>
      </c>
      <c r="H302" t="s">
        <v>16</v>
      </c>
      <c r="I302" t="str">
        <f t="shared" si="4"/>
        <v>24/04/2025</v>
      </c>
    </row>
    <row r="303" spans="1:9" x14ac:dyDescent="0.25">
      <c r="A303" t="s">
        <v>113</v>
      </c>
      <c r="B303" t="s">
        <v>231</v>
      </c>
      <c r="C303">
        <v>11.1</v>
      </c>
      <c r="D303" t="s">
        <v>18</v>
      </c>
      <c r="E303" s="7">
        <v>45771</v>
      </c>
      <c r="F303" t="s">
        <v>1</v>
      </c>
      <c r="G303" t="s">
        <v>0</v>
      </c>
      <c r="H303" t="s">
        <v>16</v>
      </c>
      <c r="I303" t="str">
        <f t="shared" si="4"/>
        <v>24/04/2025</v>
      </c>
    </row>
    <row r="304" spans="1:9" x14ac:dyDescent="0.25">
      <c r="A304" t="s">
        <v>113</v>
      </c>
      <c r="B304" t="s">
        <v>233</v>
      </c>
      <c r="C304">
        <v>17.95</v>
      </c>
      <c r="D304" t="s">
        <v>18</v>
      </c>
      <c r="E304" s="7">
        <v>45771</v>
      </c>
      <c r="F304" t="s">
        <v>1</v>
      </c>
      <c r="G304" t="s">
        <v>0</v>
      </c>
      <c r="H304" t="s">
        <v>16</v>
      </c>
      <c r="I304" t="str">
        <f t="shared" si="4"/>
        <v>24/04/2025</v>
      </c>
    </row>
    <row r="305" spans="1:9" x14ac:dyDescent="0.25">
      <c r="A305" t="s">
        <v>113</v>
      </c>
      <c r="B305" t="s">
        <v>234</v>
      </c>
      <c r="C305">
        <v>0.7</v>
      </c>
      <c r="D305" t="s">
        <v>18</v>
      </c>
      <c r="E305" s="7">
        <v>45771</v>
      </c>
      <c r="F305" t="s">
        <v>59</v>
      </c>
      <c r="G305" t="s">
        <v>0</v>
      </c>
      <c r="H305" t="s">
        <v>16</v>
      </c>
      <c r="I305" t="str">
        <f t="shared" si="4"/>
        <v>24/04/2025</v>
      </c>
    </row>
    <row r="306" spans="1:9" x14ac:dyDescent="0.25">
      <c r="A306" t="s">
        <v>113</v>
      </c>
      <c r="B306" t="s">
        <v>235</v>
      </c>
      <c r="C306">
        <v>5.6</v>
      </c>
      <c r="D306" t="s">
        <v>18</v>
      </c>
      <c r="E306" s="7">
        <v>45771</v>
      </c>
      <c r="F306" t="s">
        <v>0</v>
      </c>
      <c r="G306" t="s">
        <v>0</v>
      </c>
      <c r="H306" t="s">
        <v>16</v>
      </c>
      <c r="I306" t="str">
        <f t="shared" si="4"/>
        <v>24/04/2025</v>
      </c>
    </row>
    <row r="307" spans="1:9" x14ac:dyDescent="0.25">
      <c r="A307" t="s">
        <v>113</v>
      </c>
      <c r="B307" t="s">
        <v>235</v>
      </c>
      <c r="C307">
        <v>6.6</v>
      </c>
      <c r="D307" t="s">
        <v>18</v>
      </c>
      <c r="E307" s="7">
        <v>45771</v>
      </c>
      <c r="F307" t="s">
        <v>0</v>
      </c>
      <c r="G307" t="s">
        <v>0</v>
      </c>
      <c r="H307" t="s">
        <v>16</v>
      </c>
      <c r="I307" t="str">
        <f t="shared" si="4"/>
        <v>24/04/2025</v>
      </c>
    </row>
    <row r="308" spans="1:9" x14ac:dyDescent="0.25">
      <c r="A308" t="s">
        <v>113</v>
      </c>
      <c r="B308" t="s">
        <v>226</v>
      </c>
      <c r="C308">
        <v>19</v>
      </c>
      <c r="D308" t="s">
        <v>18</v>
      </c>
      <c r="E308" s="7">
        <v>45771</v>
      </c>
      <c r="F308" t="s">
        <v>1</v>
      </c>
      <c r="G308" t="s">
        <v>0</v>
      </c>
      <c r="H308" t="s">
        <v>16</v>
      </c>
      <c r="I308" t="str">
        <f t="shared" si="4"/>
        <v>24/04/2025</v>
      </c>
    </row>
    <row r="309" spans="1:9" x14ac:dyDescent="0.25">
      <c r="A309" t="s">
        <v>113</v>
      </c>
      <c r="B309" t="s">
        <v>236</v>
      </c>
      <c r="C309">
        <v>29</v>
      </c>
      <c r="D309" t="s">
        <v>18</v>
      </c>
      <c r="E309" s="7">
        <v>45771</v>
      </c>
      <c r="F309" t="s">
        <v>0</v>
      </c>
      <c r="G309" t="s">
        <v>0</v>
      </c>
      <c r="H309" t="s">
        <v>16</v>
      </c>
      <c r="I309" t="str">
        <f t="shared" si="4"/>
        <v>24/04/2025</v>
      </c>
    </row>
    <row r="310" spans="1:9" x14ac:dyDescent="0.25">
      <c r="A310" t="s">
        <v>113</v>
      </c>
      <c r="B310" t="s">
        <v>232</v>
      </c>
      <c r="C310">
        <v>4.5999999999999996</v>
      </c>
      <c r="D310" t="s">
        <v>18</v>
      </c>
      <c r="E310" s="7">
        <v>45772</v>
      </c>
      <c r="F310" t="s">
        <v>0</v>
      </c>
      <c r="G310" t="s">
        <v>0</v>
      </c>
      <c r="H310" t="s">
        <v>16</v>
      </c>
      <c r="I310" t="str">
        <f t="shared" si="4"/>
        <v>25/04/2025</v>
      </c>
    </row>
    <row r="311" spans="1:9" x14ac:dyDescent="0.25">
      <c r="A311" t="s">
        <v>113</v>
      </c>
      <c r="B311" t="s">
        <v>222</v>
      </c>
      <c r="C311">
        <v>9</v>
      </c>
      <c r="D311" t="s">
        <v>18</v>
      </c>
      <c r="E311" s="7">
        <v>45772</v>
      </c>
      <c r="F311" t="s">
        <v>1</v>
      </c>
      <c r="G311" t="s">
        <v>0</v>
      </c>
      <c r="H311" t="s">
        <v>16</v>
      </c>
      <c r="I311" t="str">
        <f t="shared" si="4"/>
        <v>25/04/2025</v>
      </c>
    </row>
    <row r="312" spans="1:9" x14ac:dyDescent="0.25">
      <c r="A312" t="s">
        <v>113</v>
      </c>
      <c r="B312" t="s">
        <v>237</v>
      </c>
      <c r="C312">
        <v>29.7</v>
      </c>
      <c r="D312" t="s">
        <v>18</v>
      </c>
      <c r="E312" s="7">
        <v>45772</v>
      </c>
      <c r="F312" t="s">
        <v>1</v>
      </c>
      <c r="G312" t="s">
        <v>0</v>
      </c>
      <c r="H312" t="s">
        <v>16</v>
      </c>
      <c r="I312" t="str">
        <f t="shared" si="4"/>
        <v>25/04/2025</v>
      </c>
    </row>
    <row r="313" spans="1:9" x14ac:dyDescent="0.25">
      <c r="A313" t="s">
        <v>113</v>
      </c>
      <c r="B313" t="s">
        <v>238</v>
      </c>
      <c r="C313">
        <v>4.7699999999999996</v>
      </c>
      <c r="D313" t="s">
        <v>18</v>
      </c>
      <c r="E313" s="7">
        <v>45772</v>
      </c>
      <c r="F313" t="s">
        <v>1</v>
      </c>
      <c r="G313" t="s">
        <v>0</v>
      </c>
      <c r="H313" t="s">
        <v>16</v>
      </c>
      <c r="I313" t="str">
        <f t="shared" si="4"/>
        <v>25/04/2025</v>
      </c>
    </row>
    <row r="314" spans="1:9" x14ac:dyDescent="0.25">
      <c r="A314" t="s">
        <v>113</v>
      </c>
      <c r="B314" t="s">
        <v>222</v>
      </c>
      <c r="C314">
        <v>12</v>
      </c>
      <c r="D314" t="s">
        <v>18</v>
      </c>
      <c r="E314" s="7">
        <v>45773</v>
      </c>
      <c r="F314" t="s">
        <v>59</v>
      </c>
      <c r="G314" t="s">
        <v>0</v>
      </c>
      <c r="H314" t="s">
        <v>16</v>
      </c>
      <c r="I314" t="str">
        <f t="shared" si="4"/>
        <v>26/04/2025</v>
      </c>
    </row>
    <row r="315" spans="1:9" x14ac:dyDescent="0.25">
      <c r="A315" t="s">
        <v>113</v>
      </c>
      <c r="B315" t="s">
        <v>239</v>
      </c>
      <c r="C315">
        <v>12.2</v>
      </c>
      <c r="D315" t="s">
        <v>18</v>
      </c>
      <c r="E315" s="7">
        <v>45773</v>
      </c>
      <c r="F315" t="s">
        <v>1</v>
      </c>
      <c r="G315" t="s">
        <v>0</v>
      </c>
      <c r="H315" t="s">
        <v>16</v>
      </c>
      <c r="I315" t="str">
        <f t="shared" si="4"/>
        <v>26/04/2025</v>
      </c>
    </row>
    <row r="316" spans="1:9" x14ac:dyDescent="0.25">
      <c r="A316" t="s">
        <v>113</v>
      </c>
      <c r="B316" t="s">
        <v>240</v>
      </c>
      <c r="C316">
        <v>43.8</v>
      </c>
      <c r="D316" t="s">
        <v>18</v>
      </c>
      <c r="E316" s="7">
        <v>45773</v>
      </c>
      <c r="F316" t="s">
        <v>1</v>
      </c>
      <c r="G316" t="s">
        <v>0</v>
      </c>
      <c r="H316" t="s">
        <v>16</v>
      </c>
      <c r="I316" t="str">
        <f t="shared" si="4"/>
        <v>26/04/2025</v>
      </c>
    </row>
    <row r="317" spans="1:9" x14ac:dyDescent="0.25">
      <c r="A317" t="s">
        <v>113</v>
      </c>
      <c r="B317" t="s">
        <v>241</v>
      </c>
      <c r="C317">
        <v>38</v>
      </c>
      <c r="D317" t="s">
        <v>18</v>
      </c>
      <c r="E317" s="7">
        <v>45773</v>
      </c>
      <c r="F317" t="s">
        <v>59</v>
      </c>
      <c r="G317" t="s">
        <v>0</v>
      </c>
      <c r="H317" t="s">
        <v>16</v>
      </c>
      <c r="I317" t="str">
        <f t="shared" si="4"/>
        <v>26/04/2025</v>
      </c>
    </row>
    <row r="318" spans="1:9" x14ac:dyDescent="0.25">
      <c r="A318" t="s">
        <v>113</v>
      </c>
      <c r="B318" t="s">
        <v>238</v>
      </c>
      <c r="C318">
        <v>8.4600000000000009</v>
      </c>
      <c r="D318" t="s">
        <v>18</v>
      </c>
      <c r="E318" s="7">
        <v>45773</v>
      </c>
      <c r="F318" t="s">
        <v>1</v>
      </c>
      <c r="G318" t="s">
        <v>0</v>
      </c>
      <c r="H318" t="s">
        <v>16</v>
      </c>
      <c r="I318" t="str">
        <f t="shared" si="4"/>
        <v>26/04/2025</v>
      </c>
    </row>
    <row r="319" spans="1:9" x14ac:dyDescent="0.25">
      <c r="A319" t="s">
        <v>113</v>
      </c>
      <c r="B319" t="s">
        <v>222</v>
      </c>
      <c r="C319">
        <v>24</v>
      </c>
      <c r="D319" t="s">
        <v>18</v>
      </c>
      <c r="E319" s="7">
        <v>45774</v>
      </c>
      <c r="F319" t="s">
        <v>1</v>
      </c>
      <c r="G319" t="s">
        <v>0</v>
      </c>
      <c r="H319" t="s">
        <v>16</v>
      </c>
      <c r="I319" t="str">
        <f t="shared" si="4"/>
        <v>27/04/2025</v>
      </c>
    </row>
    <row r="320" spans="1:9" x14ac:dyDescent="0.25">
      <c r="A320" t="s">
        <v>113</v>
      </c>
      <c r="B320" t="s">
        <v>239</v>
      </c>
      <c r="C320">
        <v>14.45</v>
      </c>
      <c r="D320" t="s">
        <v>18</v>
      </c>
      <c r="E320" s="7">
        <v>45774</v>
      </c>
      <c r="F320" t="s">
        <v>1</v>
      </c>
      <c r="G320" t="s">
        <v>0</v>
      </c>
      <c r="H320" t="s">
        <v>16</v>
      </c>
      <c r="I320" t="str">
        <f t="shared" si="4"/>
        <v>27/04/2025</v>
      </c>
    </row>
    <row r="321" spans="1:9" x14ac:dyDescent="0.25">
      <c r="A321" t="s">
        <v>113</v>
      </c>
      <c r="B321" t="s">
        <v>242</v>
      </c>
      <c r="C321">
        <v>37.99</v>
      </c>
      <c r="D321" t="s">
        <v>18</v>
      </c>
      <c r="E321" s="7">
        <v>45774</v>
      </c>
      <c r="F321" t="s">
        <v>0</v>
      </c>
      <c r="G321" t="s">
        <v>0</v>
      </c>
      <c r="H321" t="s">
        <v>16</v>
      </c>
      <c r="I321" t="str">
        <f t="shared" si="4"/>
        <v>27/04/2025</v>
      </c>
    </row>
    <row r="322" spans="1:9" x14ac:dyDescent="0.25">
      <c r="A322" t="s">
        <v>113</v>
      </c>
      <c r="B322" t="s">
        <v>243</v>
      </c>
      <c r="C322">
        <v>10.6</v>
      </c>
      <c r="D322" t="s">
        <v>18</v>
      </c>
      <c r="E322" s="7">
        <v>45775</v>
      </c>
      <c r="F322" t="s">
        <v>1</v>
      </c>
      <c r="G322" t="s">
        <v>0</v>
      </c>
      <c r="H322" t="s">
        <v>16</v>
      </c>
      <c r="I322" t="str">
        <f t="shared" si="4"/>
        <v>28/04/2025</v>
      </c>
    </row>
    <row r="323" spans="1:9" x14ac:dyDescent="0.25">
      <c r="A323" t="s">
        <v>113</v>
      </c>
      <c r="B323" t="s">
        <v>239</v>
      </c>
      <c r="C323">
        <v>12.2</v>
      </c>
      <c r="D323" t="s">
        <v>18</v>
      </c>
      <c r="E323" s="7">
        <v>45775</v>
      </c>
      <c r="F323" t="s">
        <v>1</v>
      </c>
      <c r="G323" t="s">
        <v>0</v>
      </c>
      <c r="H323" t="s">
        <v>16</v>
      </c>
      <c r="I323" t="str">
        <f t="shared" ref="I323:I348" si="5">TEXT(E323,"dd/mm/aaaa")</f>
        <v>28/04/2025</v>
      </c>
    </row>
    <row r="324" spans="1:9" x14ac:dyDescent="0.25">
      <c r="A324" t="s">
        <v>113</v>
      </c>
      <c r="B324" t="s">
        <v>244</v>
      </c>
      <c r="C324">
        <v>5.94</v>
      </c>
      <c r="D324" t="s">
        <v>18</v>
      </c>
      <c r="E324" s="7">
        <v>45776</v>
      </c>
      <c r="F324" t="s">
        <v>1</v>
      </c>
      <c r="G324" t="s">
        <v>0</v>
      </c>
      <c r="H324" t="s">
        <v>16</v>
      </c>
      <c r="I324" t="str">
        <f t="shared" si="5"/>
        <v>29/04/2025</v>
      </c>
    </row>
    <row r="325" spans="1:9" x14ac:dyDescent="0.25">
      <c r="A325" t="s">
        <v>113</v>
      </c>
      <c r="B325" t="s">
        <v>245</v>
      </c>
      <c r="C325">
        <v>10.6</v>
      </c>
      <c r="D325" t="s">
        <v>18</v>
      </c>
      <c r="E325" s="7">
        <v>45776</v>
      </c>
      <c r="F325" t="s">
        <v>0</v>
      </c>
      <c r="G325" t="s">
        <v>0</v>
      </c>
      <c r="H325" t="s">
        <v>16</v>
      </c>
      <c r="I325" t="str">
        <f t="shared" si="5"/>
        <v>29/04/2025</v>
      </c>
    </row>
    <row r="326" spans="1:9" x14ac:dyDescent="0.25">
      <c r="A326" t="s">
        <v>113</v>
      </c>
      <c r="B326" t="s">
        <v>246</v>
      </c>
      <c r="C326">
        <v>12.4</v>
      </c>
      <c r="D326" t="s">
        <v>18</v>
      </c>
      <c r="E326" s="7">
        <v>45776</v>
      </c>
      <c r="F326" t="s">
        <v>1</v>
      </c>
      <c r="G326" t="s">
        <v>0</v>
      </c>
      <c r="H326" t="s">
        <v>16</v>
      </c>
      <c r="I326" t="str">
        <f t="shared" si="5"/>
        <v>29/04/2025</v>
      </c>
    </row>
    <row r="327" spans="1:9" x14ac:dyDescent="0.25">
      <c r="A327" t="s">
        <v>113</v>
      </c>
      <c r="B327" t="s">
        <v>247</v>
      </c>
      <c r="C327">
        <v>9.01</v>
      </c>
      <c r="D327" t="s">
        <v>18</v>
      </c>
      <c r="E327" s="7">
        <v>45776</v>
      </c>
      <c r="F327" t="s">
        <v>1</v>
      </c>
      <c r="G327" t="s">
        <v>0</v>
      </c>
      <c r="H327" t="s">
        <v>16</v>
      </c>
      <c r="I327" t="str">
        <f t="shared" si="5"/>
        <v>29/04/2025</v>
      </c>
    </row>
    <row r="328" spans="1:9" x14ac:dyDescent="0.25">
      <c r="A328" t="s">
        <v>113</v>
      </c>
      <c r="B328" t="s">
        <v>248</v>
      </c>
      <c r="C328">
        <v>12</v>
      </c>
      <c r="D328" t="s">
        <v>18</v>
      </c>
      <c r="E328" s="7">
        <v>45776</v>
      </c>
      <c r="F328" t="s">
        <v>1</v>
      </c>
      <c r="G328" t="s">
        <v>0</v>
      </c>
      <c r="H328" t="s">
        <v>16</v>
      </c>
      <c r="I328" t="str">
        <f t="shared" si="5"/>
        <v>29/04/2025</v>
      </c>
    </row>
    <row r="329" spans="1:9" x14ac:dyDescent="0.25">
      <c r="A329" t="s">
        <v>113</v>
      </c>
      <c r="B329" t="s">
        <v>250</v>
      </c>
      <c r="C329">
        <v>132.62</v>
      </c>
      <c r="D329" t="s">
        <v>18</v>
      </c>
      <c r="E329" s="7">
        <v>45776</v>
      </c>
      <c r="F329" t="s">
        <v>1</v>
      </c>
      <c r="G329" t="s">
        <v>59</v>
      </c>
      <c r="H329" t="s">
        <v>16</v>
      </c>
      <c r="I329" t="str">
        <f t="shared" si="5"/>
        <v>29/04/2025</v>
      </c>
    </row>
    <row r="330" spans="1:9" x14ac:dyDescent="0.25">
      <c r="A330" t="s">
        <v>113</v>
      </c>
      <c r="B330" t="s">
        <v>251</v>
      </c>
      <c r="C330">
        <v>15.37</v>
      </c>
      <c r="D330" t="s">
        <v>18</v>
      </c>
      <c r="E330" s="7">
        <v>45776</v>
      </c>
      <c r="F330" t="s">
        <v>1</v>
      </c>
      <c r="G330" t="s">
        <v>0</v>
      </c>
      <c r="H330" t="s">
        <v>16</v>
      </c>
      <c r="I330" t="str">
        <f t="shared" si="5"/>
        <v>29/04/2025</v>
      </c>
    </row>
    <row r="331" spans="1:9" x14ac:dyDescent="0.25">
      <c r="A331" t="s">
        <v>113</v>
      </c>
      <c r="B331" t="s">
        <v>252</v>
      </c>
      <c r="C331">
        <v>2.7</v>
      </c>
      <c r="D331" t="s">
        <v>18</v>
      </c>
      <c r="E331" s="7">
        <v>45777</v>
      </c>
      <c r="F331" t="s">
        <v>1</v>
      </c>
      <c r="G331" t="s">
        <v>0</v>
      </c>
      <c r="H331" t="s">
        <v>16</v>
      </c>
      <c r="I331" t="str">
        <f t="shared" si="5"/>
        <v>30/04/2025</v>
      </c>
    </row>
    <row r="332" spans="1:9" x14ac:dyDescent="0.25">
      <c r="B332" t="s">
        <v>217</v>
      </c>
      <c r="C332">
        <v>45.67</v>
      </c>
      <c r="D332" t="s">
        <v>18</v>
      </c>
      <c r="E332" s="7">
        <v>45777</v>
      </c>
      <c r="F332" t="s">
        <v>1</v>
      </c>
      <c r="G332" t="s">
        <v>27</v>
      </c>
      <c r="H332" t="s">
        <v>16</v>
      </c>
      <c r="I332" t="str">
        <f t="shared" si="5"/>
        <v>30/04/2025</v>
      </c>
    </row>
    <row r="333" spans="1:9" x14ac:dyDescent="0.25">
      <c r="B333" t="s">
        <v>130</v>
      </c>
      <c r="C333">
        <v>8.6</v>
      </c>
      <c r="D333" t="s">
        <v>18</v>
      </c>
      <c r="E333" s="7">
        <v>45778</v>
      </c>
      <c r="F333" t="s">
        <v>1</v>
      </c>
      <c r="G333" t="s">
        <v>0</v>
      </c>
      <c r="H333" t="s">
        <v>16</v>
      </c>
      <c r="I333" t="str">
        <f t="shared" si="5"/>
        <v>01/05/2025</v>
      </c>
    </row>
    <row r="334" spans="1:9" x14ac:dyDescent="0.25">
      <c r="B334" t="s">
        <v>217</v>
      </c>
      <c r="C334">
        <v>7.4</v>
      </c>
      <c r="D334" t="s">
        <v>18</v>
      </c>
      <c r="E334" s="7">
        <v>45779</v>
      </c>
      <c r="F334" t="s">
        <v>1</v>
      </c>
      <c r="G334" t="s">
        <v>0</v>
      </c>
      <c r="H334" t="s">
        <v>16</v>
      </c>
      <c r="I334" t="str">
        <f t="shared" si="5"/>
        <v>02/05/2025</v>
      </c>
    </row>
    <row r="335" spans="1:9" x14ac:dyDescent="0.25">
      <c r="B335" t="s">
        <v>217</v>
      </c>
      <c r="C335">
        <v>23.3</v>
      </c>
      <c r="D335" t="s">
        <v>18</v>
      </c>
      <c r="E335" s="7">
        <v>45779</v>
      </c>
      <c r="F335" t="s">
        <v>1</v>
      </c>
      <c r="G335" t="s">
        <v>0</v>
      </c>
      <c r="H335" t="s">
        <v>16</v>
      </c>
      <c r="I335" t="str">
        <f t="shared" si="5"/>
        <v>02/05/2025</v>
      </c>
    </row>
    <row r="336" spans="1:9" x14ac:dyDescent="0.25">
      <c r="B336" t="s">
        <v>254</v>
      </c>
      <c r="C336">
        <v>7</v>
      </c>
      <c r="D336" t="s">
        <v>18</v>
      </c>
      <c r="E336" s="7">
        <v>45781</v>
      </c>
      <c r="F336" t="s">
        <v>1</v>
      </c>
      <c r="G336" t="s">
        <v>0</v>
      </c>
      <c r="H336" t="s">
        <v>16</v>
      </c>
      <c r="I336" t="str">
        <f t="shared" si="5"/>
        <v>04/05/2025</v>
      </c>
    </row>
    <row r="337" spans="2:9" x14ac:dyDescent="0.25">
      <c r="B337" t="s">
        <v>254</v>
      </c>
      <c r="C337">
        <v>16</v>
      </c>
      <c r="D337" t="s">
        <v>18</v>
      </c>
      <c r="E337" s="7">
        <v>45781</v>
      </c>
      <c r="F337" t="s">
        <v>1</v>
      </c>
      <c r="G337" t="s">
        <v>0</v>
      </c>
      <c r="H337" t="s">
        <v>16</v>
      </c>
      <c r="I337" t="str">
        <f t="shared" si="5"/>
        <v>04/05/2025</v>
      </c>
    </row>
    <row r="338" spans="2:9" x14ac:dyDescent="0.25">
      <c r="B338" t="s">
        <v>255</v>
      </c>
      <c r="C338">
        <v>31.2</v>
      </c>
      <c r="D338" t="s">
        <v>18</v>
      </c>
      <c r="E338" s="7">
        <v>45781</v>
      </c>
      <c r="F338" t="s">
        <v>1</v>
      </c>
      <c r="G338" t="s">
        <v>0</v>
      </c>
      <c r="H338" t="s">
        <v>16</v>
      </c>
      <c r="I338" t="str">
        <f t="shared" si="5"/>
        <v>04/05/2025</v>
      </c>
    </row>
    <row r="339" spans="2:9" x14ac:dyDescent="0.25">
      <c r="B339" t="s">
        <v>30</v>
      </c>
      <c r="C339">
        <v>7.2</v>
      </c>
      <c r="D339" t="s">
        <v>18</v>
      </c>
      <c r="E339" s="7">
        <v>45782</v>
      </c>
      <c r="F339" t="s">
        <v>1</v>
      </c>
      <c r="G339" t="s">
        <v>0</v>
      </c>
      <c r="H339" t="s">
        <v>16</v>
      </c>
      <c r="I339" t="str">
        <f t="shared" si="5"/>
        <v>05/05/2025</v>
      </c>
    </row>
    <row r="340" spans="2:9" x14ac:dyDescent="0.25">
      <c r="B340" t="s">
        <v>30</v>
      </c>
      <c r="C340">
        <v>5.2</v>
      </c>
      <c r="D340" t="s">
        <v>18</v>
      </c>
      <c r="E340" s="7">
        <v>45783</v>
      </c>
      <c r="F340" t="s">
        <v>0</v>
      </c>
      <c r="G340" t="s">
        <v>0</v>
      </c>
      <c r="H340" t="s">
        <v>16</v>
      </c>
      <c r="I340" t="str">
        <f t="shared" si="5"/>
        <v>06/05/2025</v>
      </c>
    </row>
    <row r="341" spans="2:9" x14ac:dyDescent="0.25">
      <c r="B341" t="s">
        <v>257</v>
      </c>
      <c r="C341">
        <v>8.6</v>
      </c>
      <c r="D341" t="s">
        <v>18</v>
      </c>
      <c r="E341" s="7">
        <v>45783</v>
      </c>
      <c r="F341" t="s">
        <v>1</v>
      </c>
      <c r="G341" t="s">
        <v>0</v>
      </c>
      <c r="H341" t="s">
        <v>16</v>
      </c>
      <c r="I341" t="str">
        <f t="shared" si="5"/>
        <v>06/05/2025</v>
      </c>
    </row>
    <row r="342" spans="2:9" x14ac:dyDescent="0.25">
      <c r="B342" t="s">
        <v>257</v>
      </c>
      <c r="C342">
        <v>13.4</v>
      </c>
      <c r="D342" t="s">
        <v>18</v>
      </c>
      <c r="E342" s="7">
        <v>45783</v>
      </c>
      <c r="F342" t="s">
        <v>0</v>
      </c>
      <c r="G342" t="s">
        <v>0</v>
      </c>
      <c r="H342" t="s">
        <v>16</v>
      </c>
      <c r="I342" t="str">
        <f t="shared" si="5"/>
        <v>06/05/2025</v>
      </c>
    </row>
    <row r="343" spans="2:9" x14ac:dyDescent="0.25">
      <c r="B343" t="s">
        <v>257</v>
      </c>
      <c r="C343">
        <v>5.75</v>
      </c>
      <c r="D343" t="s">
        <v>18</v>
      </c>
      <c r="E343" s="7">
        <v>45783</v>
      </c>
      <c r="F343" t="s">
        <v>0</v>
      </c>
      <c r="G343" t="s">
        <v>0</v>
      </c>
      <c r="H343" t="s">
        <v>16</v>
      </c>
      <c r="I343" t="str">
        <f t="shared" si="5"/>
        <v>06/05/2025</v>
      </c>
    </row>
    <row r="344" spans="2:9" x14ac:dyDescent="0.25">
      <c r="B344" t="s">
        <v>217</v>
      </c>
      <c r="C344">
        <v>23.31</v>
      </c>
      <c r="D344" t="s">
        <v>18</v>
      </c>
      <c r="E344" s="7">
        <v>45782</v>
      </c>
      <c r="F344" t="s">
        <v>1</v>
      </c>
      <c r="G344" t="s">
        <v>27</v>
      </c>
      <c r="H344" t="s">
        <v>16</v>
      </c>
      <c r="I344" t="str">
        <f t="shared" si="5"/>
        <v>05/05/2025</v>
      </c>
    </row>
    <row r="345" spans="2:9" x14ac:dyDescent="0.25">
      <c r="B345" t="s">
        <v>217</v>
      </c>
      <c r="C345">
        <v>17.89</v>
      </c>
      <c r="D345" t="s">
        <v>18</v>
      </c>
      <c r="E345" s="7">
        <v>45780</v>
      </c>
      <c r="F345" t="s">
        <v>1</v>
      </c>
      <c r="G345" t="s">
        <v>27</v>
      </c>
      <c r="H345" t="s">
        <v>16</v>
      </c>
      <c r="I345" t="str">
        <f t="shared" si="5"/>
        <v>03/05/2025</v>
      </c>
    </row>
    <row r="346" spans="2:9" x14ac:dyDescent="0.25">
      <c r="B346" t="s">
        <v>217</v>
      </c>
      <c r="C346">
        <v>4.9400000000000004</v>
      </c>
      <c r="D346" t="s">
        <v>18</v>
      </c>
      <c r="E346" s="7">
        <v>45779</v>
      </c>
      <c r="F346" t="s">
        <v>1</v>
      </c>
      <c r="G346" t="s">
        <v>27</v>
      </c>
      <c r="H346" t="s">
        <v>16</v>
      </c>
      <c r="I346" t="str">
        <f t="shared" si="5"/>
        <v>02/05/2025</v>
      </c>
    </row>
    <row r="347" spans="2:9" x14ac:dyDescent="0.25">
      <c r="B347" t="s">
        <v>258</v>
      </c>
      <c r="C347">
        <v>30</v>
      </c>
      <c r="D347" t="s">
        <v>18</v>
      </c>
      <c r="E347" s="7">
        <v>45782</v>
      </c>
      <c r="F347" t="s">
        <v>1</v>
      </c>
      <c r="G347" t="s">
        <v>27</v>
      </c>
      <c r="H347" t="s">
        <v>16</v>
      </c>
      <c r="I347" t="str">
        <f t="shared" si="5"/>
        <v>05/05/2025</v>
      </c>
    </row>
    <row r="348" spans="2:9" x14ac:dyDescent="0.25">
      <c r="B348" t="s">
        <v>259</v>
      </c>
      <c r="C348">
        <v>26</v>
      </c>
      <c r="D348" t="s">
        <v>18</v>
      </c>
      <c r="E348" s="7">
        <v>45781</v>
      </c>
      <c r="F348" t="s">
        <v>1</v>
      </c>
      <c r="G348" t="s">
        <v>27</v>
      </c>
      <c r="H348" t="s">
        <v>16</v>
      </c>
      <c r="I348" t="str">
        <f t="shared" si="5"/>
        <v>04/05/2025</v>
      </c>
    </row>
  </sheetData>
  <autoFilter ref="A1:I348" xr:uid="{3B313AF8-4031-40EE-9896-CDFA646B0005}"/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A2F8D-50A4-4B5C-8B84-916CCBC691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Conversões e gastos</vt:lpstr>
      <vt:lpstr>Planilha2</vt:lpstr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Frosi</dc:creator>
  <cp:keywords/>
  <dc:description/>
  <cp:lastModifiedBy>Gustavo Frosi</cp:lastModifiedBy>
  <cp:revision/>
  <dcterms:created xsi:type="dcterms:W3CDTF">2024-11-11T20:26:40Z</dcterms:created>
  <dcterms:modified xsi:type="dcterms:W3CDTF">2025-05-21T01:39:59Z</dcterms:modified>
  <cp:category/>
  <cp:contentStatus/>
</cp:coreProperties>
</file>